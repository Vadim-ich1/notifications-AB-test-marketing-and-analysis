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адим\Documents\Скайпро файлы\ДИПЛОМ скайпро\"/>
    </mc:Choice>
  </mc:AlternateContent>
  <xr:revisionPtr revIDLastSave="0" documentId="13_ncr:1_{1AE4A8E0-C52D-4D24-9B25-26A25EC21EE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Все результаты" sheetId="1" state="hidden" r:id="rId1"/>
    <sheet name="Итог" sheetId="5" r:id="rId2"/>
    <sheet name="Положительные исходы" sheetId="2" r:id="rId3"/>
    <sheet name="Отрицательные исходы" sheetId="3" r:id="rId4"/>
    <sheet name="Нейтральные исходы" sheetId="4" r:id="rId5"/>
  </sheets>
  <definedNames>
    <definedName name="_xlnm._FilterDatabase" localSheetId="0" hidden="1">'Все результаты'!$A$1:$Y$55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" i="4" l="1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41" i="4"/>
  <c r="B8" i="5" s="1"/>
  <c r="B6" i="5"/>
  <c r="B10" i="3"/>
  <c r="B9" i="3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25" i="2"/>
  <c r="B5" i="5" l="1"/>
  <c r="B7" i="5" s="1"/>
</calcChain>
</file>

<file path=xl/sharedStrings.xml><?xml version="1.0" encoding="utf-8"?>
<sst xmlns="http://schemas.openxmlformats.org/spreadsheetml/2006/main" count="333" uniqueCount="60">
  <si>
    <t>city</t>
  </si>
  <si>
    <t>id_trading_point</t>
  </si>
  <si>
    <t>count_test</t>
  </si>
  <si>
    <t>count_control</t>
  </si>
  <si>
    <t>count_all</t>
  </si>
  <si>
    <t>percent_count</t>
  </si>
  <si>
    <t>avg_payment_test</t>
  </si>
  <si>
    <t>avg_payment_control</t>
  </si>
  <si>
    <t>diff</t>
  </si>
  <si>
    <t>sigma_test</t>
  </si>
  <si>
    <t>sigma_control</t>
  </si>
  <si>
    <t>ttest</t>
  </si>
  <si>
    <t>pvalue_ttest</t>
  </si>
  <si>
    <t>label</t>
  </si>
  <si>
    <t>median_payment_test</t>
  </si>
  <si>
    <t>median_payment_control</t>
  </si>
  <si>
    <t>median_diff</t>
  </si>
  <si>
    <t>conversion_test</t>
  </si>
  <si>
    <t>conversion_control</t>
  </si>
  <si>
    <t>conversion_diff</t>
  </si>
  <si>
    <t>total_payment_test</t>
  </si>
  <si>
    <t>total_payment_control</t>
  </si>
  <si>
    <t>total_diff</t>
  </si>
  <si>
    <t>cv_test</t>
  </si>
  <si>
    <t>cv_control</t>
  </si>
  <si>
    <t>Красноярск</t>
  </si>
  <si>
    <t>Мурманск</t>
  </si>
  <si>
    <t>Казань</t>
  </si>
  <si>
    <t>Санкт-Петербург</t>
  </si>
  <si>
    <t>Москва</t>
  </si>
  <si>
    <t>Ярославль</t>
  </si>
  <si>
    <t>Саратов</t>
  </si>
  <si>
    <t>Тольятти</t>
  </si>
  <si>
    <t>Тюмень</t>
  </si>
  <si>
    <t>Волгоград</t>
  </si>
  <si>
    <t>Сочи</t>
  </si>
  <si>
    <t>Владимир</t>
  </si>
  <si>
    <t>Самара</t>
  </si>
  <si>
    <t>Краснодар</t>
  </si>
  <si>
    <t>Ростов-на-Дону</t>
  </si>
  <si>
    <t>Сахалинск</t>
  </si>
  <si>
    <t>Петрозаводск</t>
  </si>
  <si>
    <t>Дмитров</t>
  </si>
  <si>
    <t>neutral</t>
  </si>
  <si>
    <t>positive</t>
  </si>
  <si>
    <t>negative</t>
  </si>
  <si>
    <t>Вводные данные</t>
  </si>
  <si>
    <t>N</t>
  </si>
  <si>
    <t>MDE</t>
  </si>
  <si>
    <t>Итоговые результаты</t>
  </si>
  <si>
    <t>Баланс</t>
  </si>
  <si>
    <t>Количество наблюдений</t>
  </si>
  <si>
    <t>Положительный исход (прирост)</t>
  </si>
  <si>
    <t>Отрицательный исход (падение)</t>
  </si>
  <si>
    <t>Прирост прибыли</t>
  </si>
  <si>
    <t>Торговая точка</t>
  </si>
  <si>
    <t>Расчет влияния изменения механики уведомлений пользователей</t>
  </si>
  <si>
    <t>Падение прибыли</t>
  </si>
  <si>
    <t>Необходимое количество наблюдений</t>
  </si>
  <si>
    <t>Расчет количества наблюдений для обнаружения значимой разницы в торговых точках показавших недостаточные изменения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</si>
</sst>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0"/>
      <color rgb="FF0F111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0" borderId="1" xfId="0" applyBorder="1"/>
    <xf numFmtId="0" fontId="2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4" fontId="0" fillId="0" borderId="9" xfId="1" applyFont="1" applyBorder="1" applyAlignment="1"/>
    <xf numFmtId="44" fontId="0" fillId="0" borderId="10" xfId="1" applyFont="1" applyBorder="1" applyAlignment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4" fontId="0" fillId="0" borderId="8" xfId="1" applyFont="1" applyBorder="1"/>
    <xf numFmtId="44" fontId="0" fillId="0" borderId="10" xfId="1" applyFont="1" applyBorder="1"/>
    <xf numFmtId="0" fontId="6" fillId="0" borderId="0" xfId="0" applyFont="1"/>
    <xf numFmtId="1" fontId="0" fillId="0" borderId="9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colors>
    <mruColors>
      <color rgb="FFFF9396"/>
      <color rgb="FFA6FCAE"/>
      <color rgb="FFFF7C80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opLeftCell="J1" workbookViewId="0">
      <selection activeCell="L20" sqref="L20"/>
    </sheetView>
  </sheetViews>
  <sheetFormatPr defaultRowHeight="14.4" x14ac:dyDescent="0.3"/>
  <cols>
    <col min="1" max="1" width="17.6640625" customWidth="1"/>
    <col min="2" max="2" width="18.6640625" customWidth="1"/>
    <col min="3" max="3" width="12.6640625" customWidth="1"/>
    <col min="4" max="4" width="15.6640625" customWidth="1"/>
    <col min="5" max="5" width="11.6640625" customWidth="1"/>
    <col min="6" max="6" width="21.6640625" customWidth="1"/>
    <col min="7" max="7" width="20.6640625" customWidth="1"/>
    <col min="8" max="9" width="21.6640625" customWidth="1"/>
    <col min="10" max="11" width="20.6640625" customWidth="1"/>
    <col min="12" max="12" width="22.6640625" customWidth="1"/>
    <col min="13" max="13" width="24.6640625" customWidth="1"/>
    <col min="14" max="14" width="10.6640625" customWidth="1"/>
    <col min="15" max="15" width="21.6640625" customWidth="1"/>
    <col min="16" max="16" width="24.6640625" customWidth="1"/>
    <col min="17" max="17" width="13.6640625" customWidth="1"/>
    <col min="18" max="19" width="21.6640625" customWidth="1"/>
    <col min="20" max="20" width="23.6640625" customWidth="1"/>
    <col min="21" max="21" width="20.6640625" customWidth="1"/>
    <col min="22" max="22" width="23.6640625" customWidth="1"/>
    <col min="23" max="23" width="12.6640625" customWidth="1"/>
    <col min="24" max="25" width="20.66406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29</v>
      </c>
      <c r="B2">
        <v>9931</v>
      </c>
      <c r="C2">
        <v>153</v>
      </c>
      <c r="D2">
        <v>137</v>
      </c>
      <c r="E2">
        <v>290</v>
      </c>
      <c r="F2">
        <v>0.61695564301670036</v>
      </c>
      <c r="G2">
        <v>1438.464052287582</v>
      </c>
      <c r="H2">
        <v>1994.0218978102189</v>
      </c>
      <c r="I2">
        <v>-555.55784552263708</v>
      </c>
      <c r="J2">
        <v>2041.6097719374061</v>
      </c>
      <c r="K2">
        <v>2400.7810753119061</v>
      </c>
      <c r="L2">
        <v>-2.110174925464896</v>
      </c>
      <c r="M2">
        <v>3.5768574973640582E-2</v>
      </c>
      <c r="N2" t="s">
        <v>45</v>
      </c>
      <c r="O2">
        <v>0</v>
      </c>
      <c r="P2">
        <v>1430</v>
      </c>
      <c r="Q2">
        <v>-1430</v>
      </c>
      <c r="R2">
        <v>0.36601307189542481</v>
      </c>
      <c r="S2">
        <v>0.52554744525547448</v>
      </c>
      <c r="T2">
        <v>-0.15953437336004969</v>
      </c>
      <c r="U2">
        <v>220085</v>
      </c>
      <c r="V2">
        <v>273181</v>
      </c>
      <c r="W2">
        <v>-53096</v>
      </c>
      <c r="X2">
        <v>1.419298430635541</v>
      </c>
      <c r="Y2">
        <v>1.203989323260882</v>
      </c>
    </row>
    <row r="3" spans="1:25" x14ac:dyDescent="0.3">
      <c r="A3" t="s">
        <v>38</v>
      </c>
      <c r="B3">
        <v>1101</v>
      </c>
      <c r="C3">
        <v>785</v>
      </c>
      <c r="D3">
        <v>869</v>
      </c>
      <c r="E3">
        <v>1654</v>
      </c>
      <c r="F3">
        <v>3.5187745984469729</v>
      </c>
      <c r="G3">
        <v>2211.3668789808921</v>
      </c>
      <c r="H3">
        <v>2559.5166858458001</v>
      </c>
      <c r="I3">
        <v>-348.14980686490799</v>
      </c>
      <c r="J3">
        <v>2717.781482506763</v>
      </c>
      <c r="K3">
        <v>2962.72550581729</v>
      </c>
      <c r="L3">
        <v>-2.4924934133567902</v>
      </c>
      <c r="M3">
        <v>1.278230835529055E-2</v>
      </c>
      <c r="N3" t="s">
        <v>45</v>
      </c>
      <c r="O3">
        <v>991</v>
      </c>
      <c r="P3">
        <v>1956</v>
      </c>
      <c r="Q3">
        <v>-965</v>
      </c>
      <c r="R3">
        <v>0.51337579617834395</v>
      </c>
      <c r="S3">
        <v>0.5650172612197929</v>
      </c>
      <c r="T3">
        <v>-5.1641465041448953E-2</v>
      </c>
      <c r="U3">
        <v>1735923</v>
      </c>
      <c r="V3">
        <v>2224220</v>
      </c>
      <c r="W3">
        <v>-488297</v>
      </c>
      <c r="X3">
        <v>1.2290052403060561</v>
      </c>
      <c r="Y3">
        <v>1.1575331867149941</v>
      </c>
    </row>
    <row r="4" spans="1:25" x14ac:dyDescent="0.3">
      <c r="A4" t="s">
        <v>25</v>
      </c>
      <c r="B4">
        <v>212</v>
      </c>
      <c r="C4">
        <v>593</v>
      </c>
      <c r="D4">
        <v>575</v>
      </c>
      <c r="E4">
        <v>1168</v>
      </c>
      <c r="F4">
        <v>2.4848420380810552</v>
      </c>
      <c r="G4">
        <v>2161.871838111299</v>
      </c>
      <c r="H4">
        <v>2264.2956521739129</v>
      </c>
      <c r="I4">
        <v>-102.4238140626144</v>
      </c>
      <c r="J4">
        <v>2708.3803553207372</v>
      </c>
      <c r="K4">
        <v>2785.4326638748721</v>
      </c>
      <c r="L4">
        <v>-0.63688404845827784</v>
      </c>
      <c r="M4">
        <v>0.52432582294876062</v>
      </c>
      <c r="N4" t="s">
        <v>43</v>
      </c>
      <c r="O4">
        <v>976</v>
      </c>
      <c r="P4">
        <v>1093</v>
      </c>
      <c r="Q4">
        <v>-117</v>
      </c>
      <c r="R4">
        <v>0.52613827993254636</v>
      </c>
      <c r="S4">
        <v>0.51826086956521744</v>
      </c>
      <c r="T4">
        <v>7.8774103673289186E-3</v>
      </c>
      <c r="U4">
        <v>1281990</v>
      </c>
      <c r="V4">
        <v>1301970</v>
      </c>
      <c r="W4">
        <v>-19980</v>
      </c>
      <c r="X4">
        <v>1.252794133109616</v>
      </c>
      <c r="Y4">
        <v>1.230154136983227</v>
      </c>
    </row>
    <row r="5" spans="1:25" x14ac:dyDescent="0.3">
      <c r="A5" t="s">
        <v>25</v>
      </c>
      <c r="B5">
        <v>278</v>
      </c>
      <c r="C5">
        <v>535</v>
      </c>
      <c r="D5">
        <v>489</v>
      </c>
      <c r="E5">
        <v>1024</v>
      </c>
      <c r="F5">
        <v>2.1784916498244868</v>
      </c>
      <c r="G5">
        <v>2557.7196261682238</v>
      </c>
      <c r="H5">
        <v>2256.1758691206542</v>
      </c>
      <c r="I5">
        <v>301.54375704757012</v>
      </c>
      <c r="J5">
        <v>2967.3350646097861</v>
      </c>
      <c r="K5">
        <v>2615.6570691573679</v>
      </c>
      <c r="L5">
        <v>1.728073759084533</v>
      </c>
      <c r="M5">
        <v>8.4277457814196335E-2</v>
      </c>
      <c r="N5" t="s">
        <v>43</v>
      </c>
      <c r="O5">
        <v>1933</v>
      </c>
      <c r="P5">
        <v>1393</v>
      </c>
      <c r="Q5">
        <v>540</v>
      </c>
      <c r="R5">
        <v>0.55514018691588785</v>
      </c>
      <c r="S5">
        <v>0.54192229038854811</v>
      </c>
      <c r="T5">
        <v>1.3217896527339731E-2</v>
      </c>
      <c r="U5">
        <v>1368380</v>
      </c>
      <c r="V5">
        <v>1103270</v>
      </c>
      <c r="W5">
        <v>265110</v>
      </c>
      <c r="X5">
        <v>1.160148686451304</v>
      </c>
      <c r="Y5">
        <v>1.159332082643372</v>
      </c>
    </row>
    <row r="6" spans="1:25" x14ac:dyDescent="0.3">
      <c r="A6" t="s">
        <v>25</v>
      </c>
      <c r="B6">
        <v>202</v>
      </c>
      <c r="C6">
        <v>551</v>
      </c>
      <c r="D6">
        <v>565</v>
      </c>
      <c r="E6">
        <v>1116</v>
      </c>
      <c r="F6">
        <v>2.3742155089884061</v>
      </c>
      <c r="G6">
        <v>2984.0199637023588</v>
      </c>
      <c r="H6">
        <v>2754.945132743363</v>
      </c>
      <c r="I6">
        <v>229.07483095899619</v>
      </c>
      <c r="J6">
        <v>2978.1745943020442</v>
      </c>
      <c r="K6">
        <v>2735.186400256362</v>
      </c>
      <c r="L6">
        <v>1.337396080604691</v>
      </c>
      <c r="M6">
        <v>0.18136967289038519</v>
      </c>
      <c r="N6" t="s">
        <v>43</v>
      </c>
      <c r="O6">
        <v>2961</v>
      </c>
      <c r="P6">
        <v>2653</v>
      </c>
      <c r="Q6">
        <v>308</v>
      </c>
      <c r="R6">
        <v>0.64065335753176045</v>
      </c>
      <c r="S6">
        <v>0.65486725663716816</v>
      </c>
      <c r="T6">
        <v>-1.4213899105407711E-2</v>
      </c>
      <c r="U6">
        <v>1644195</v>
      </c>
      <c r="V6">
        <v>1556544</v>
      </c>
      <c r="W6">
        <v>87651</v>
      </c>
      <c r="X6">
        <v>0.9980411091509378</v>
      </c>
      <c r="Y6">
        <v>0.99282790344818039</v>
      </c>
    </row>
    <row r="7" spans="1:25" x14ac:dyDescent="0.3">
      <c r="A7" t="s">
        <v>25</v>
      </c>
      <c r="B7">
        <v>444</v>
      </c>
      <c r="C7">
        <v>650</v>
      </c>
      <c r="D7">
        <v>562</v>
      </c>
      <c r="E7">
        <v>1212</v>
      </c>
      <c r="F7">
        <v>2.578449101159451</v>
      </c>
      <c r="G7">
        <v>2473.5061538461541</v>
      </c>
      <c r="H7">
        <v>2626.0017793594311</v>
      </c>
      <c r="I7">
        <v>-152.49562551327699</v>
      </c>
      <c r="J7">
        <v>2816.4542840544318</v>
      </c>
      <c r="K7">
        <v>2820.954432295523</v>
      </c>
      <c r="L7">
        <v>-0.93919565854277443</v>
      </c>
      <c r="M7">
        <v>0.34782180428422182</v>
      </c>
      <c r="N7" t="s">
        <v>43</v>
      </c>
      <c r="O7">
        <v>2118.5</v>
      </c>
      <c r="P7">
        <v>2406</v>
      </c>
      <c r="Q7">
        <v>-287.5</v>
      </c>
      <c r="R7">
        <v>0.57076923076923081</v>
      </c>
      <c r="S7">
        <v>0.59252669039145911</v>
      </c>
      <c r="T7">
        <v>-2.17574596222283E-2</v>
      </c>
      <c r="U7">
        <v>1607779</v>
      </c>
      <c r="V7">
        <v>1475813</v>
      </c>
      <c r="W7">
        <v>131966</v>
      </c>
      <c r="X7">
        <v>1.138648585804007</v>
      </c>
      <c r="Y7">
        <v>1.074239345330394</v>
      </c>
    </row>
    <row r="8" spans="1:25" x14ac:dyDescent="0.3">
      <c r="A8" t="s">
        <v>25</v>
      </c>
      <c r="B8">
        <v>277</v>
      </c>
      <c r="C8">
        <v>708</v>
      </c>
      <c r="D8">
        <v>709</v>
      </c>
      <c r="E8">
        <v>1417</v>
      </c>
      <c r="F8">
        <v>3.0145729177747049</v>
      </c>
      <c r="G8">
        <v>2310.2556497175142</v>
      </c>
      <c r="H8">
        <v>2475.4132581100139</v>
      </c>
      <c r="I8">
        <v>-165.1576083924997</v>
      </c>
      <c r="J8">
        <v>2728.8194909748909</v>
      </c>
      <c r="K8">
        <v>2901.614247275716</v>
      </c>
      <c r="L8">
        <v>-1.103688521712507</v>
      </c>
      <c r="M8">
        <v>0.26991660595381189</v>
      </c>
      <c r="N8" t="s">
        <v>43</v>
      </c>
      <c r="O8">
        <v>1614.5</v>
      </c>
      <c r="P8">
        <v>1812</v>
      </c>
      <c r="Q8">
        <v>-197.5</v>
      </c>
      <c r="R8">
        <v>0.53813559322033899</v>
      </c>
      <c r="S8">
        <v>0.54724964739069115</v>
      </c>
      <c r="T8">
        <v>-9.1140541703521594E-3</v>
      </c>
      <c r="U8">
        <v>1635661</v>
      </c>
      <c r="V8">
        <v>1755068</v>
      </c>
      <c r="W8">
        <v>-119407</v>
      </c>
      <c r="X8">
        <v>1.181176417124467</v>
      </c>
      <c r="Y8">
        <v>1.1721736715149971</v>
      </c>
    </row>
    <row r="9" spans="1:25" x14ac:dyDescent="0.3">
      <c r="A9" t="s">
        <v>26</v>
      </c>
      <c r="B9">
        <v>54</v>
      </c>
      <c r="C9">
        <v>633</v>
      </c>
      <c r="D9">
        <v>640</v>
      </c>
      <c r="E9">
        <v>1273</v>
      </c>
      <c r="F9">
        <v>2.7082225295181361</v>
      </c>
      <c r="G9">
        <v>1746.568720379147</v>
      </c>
      <c r="H9">
        <v>1699.35625</v>
      </c>
      <c r="I9">
        <v>47.212470379146907</v>
      </c>
      <c r="J9">
        <v>2584.5197541496218</v>
      </c>
      <c r="K9">
        <v>2628.182195700093</v>
      </c>
      <c r="L9">
        <v>0.32315154427558002</v>
      </c>
      <c r="M9">
        <v>0.74663363393574844</v>
      </c>
      <c r="N9" t="s">
        <v>43</v>
      </c>
      <c r="O9">
        <v>0</v>
      </c>
      <c r="P9">
        <v>0</v>
      </c>
      <c r="Q9">
        <v>0</v>
      </c>
      <c r="R9">
        <v>0.39652448657187989</v>
      </c>
      <c r="S9">
        <v>0.38750000000000001</v>
      </c>
      <c r="T9">
        <v>9.0244865718799305E-3</v>
      </c>
      <c r="U9">
        <v>1105578</v>
      </c>
      <c r="V9">
        <v>1087588</v>
      </c>
      <c r="W9">
        <v>17990</v>
      </c>
      <c r="X9">
        <v>1.4797698618973161</v>
      </c>
      <c r="Y9">
        <v>1.5465751785125059</v>
      </c>
    </row>
    <row r="10" spans="1:25" x14ac:dyDescent="0.3">
      <c r="A10" t="s">
        <v>26</v>
      </c>
      <c r="B10">
        <v>55</v>
      </c>
      <c r="C10">
        <v>422</v>
      </c>
      <c r="D10">
        <v>425</v>
      </c>
      <c r="E10">
        <v>847</v>
      </c>
      <c r="F10">
        <v>1.8019359642591219</v>
      </c>
      <c r="G10">
        <v>2158.4431279620849</v>
      </c>
      <c r="H10">
        <v>2143.931764705882</v>
      </c>
      <c r="I10">
        <v>14.511363256202911</v>
      </c>
      <c r="J10">
        <v>2793.1877642411632</v>
      </c>
      <c r="K10">
        <v>2878.9766996823928</v>
      </c>
      <c r="L10">
        <v>7.4451246593863235E-2</v>
      </c>
      <c r="M10">
        <v>0.94066896335809802</v>
      </c>
      <c r="N10" t="s">
        <v>43</v>
      </c>
      <c r="O10">
        <v>1041.5</v>
      </c>
      <c r="P10">
        <v>0</v>
      </c>
      <c r="Q10">
        <v>1041.5</v>
      </c>
      <c r="R10">
        <v>0.52132701421800953</v>
      </c>
      <c r="S10">
        <v>0.47294117647058831</v>
      </c>
      <c r="T10">
        <v>4.8385837747421279E-2</v>
      </c>
      <c r="U10">
        <v>910863</v>
      </c>
      <c r="V10">
        <v>911171</v>
      </c>
      <c r="W10">
        <v>-308</v>
      </c>
      <c r="X10">
        <v>1.294075219335697</v>
      </c>
      <c r="Y10">
        <v>1.3428490342263051</v>
      </c>
    </row>
    <row r="11" spans="1:25" x14ac:dyDescent="0.3">
      <c r="A11" t="s">
        <v>27</v>
      </c>
      <c r="B11">
        <v>699</v>
      </c>
      <c r="C11">
        <v>482</v>
      </c>
      <c r="D11">
        <v>494</v>
      </c>
      <c r="E11">
        <v>976</v>
      </c>
      <c r="F11">
        <v>2.0763748537389639</v>
      </c>
      <c r="G11">
        <v>2494.2780082987551</v>
      </c>
      <c r="H11">
        <v>2637.570850202429</v>
      </c>
      <c r="I11">
        <v>-143.29284190367389</v>
      </c>
      <c r="J11">
        <v>3988.5068576769008</v>
      </c>
      <c r="K11">
        <v>4167.1218812101688</v>
      </c>
      <c r="L11">
        <v>-0.54887306488108101</v>
      </c>
      <c r="M11">
        <v>0.58321840635487066</v>
      </c>
      <c r="N11" t="s">
        <v>43</v>
      </c>
      <c r="O11">
        <v>0</v>
      </c>
      <c r="P11">
        <v>0</v>
      </c>
      <c r="Q11">
        <v>0</v>
      </c>
      <c r="R11">
        <v>0.43775933609958512</v>
      </c>
      <c r="S11">
        <v>0.47975708502024289</v>
      </c>
      <c r="T11">
        <v>-4.1997748920657829E-2</v>
      </c>
      <c r="U11">
        <v>1202242</v>
      </c>
      <c r="V11">
        <v>1302960</v>
      </c>
      <c r="W11">
        <v>-100718</v>
      </c>
      <c r="X11">
        <v>1.5990626724072741</v>
      </c>
      <c r="Y11">
        <v>1.579908983635586</v>
      </c>
    </row>
    <row r="12" spans="1:25" x14ac:dyDescent="0.3">
      <c r="A12" t="s">
        <v>27</v>
      </c>
      <c r="B12">
        <v>477</v>
      </c>
      <c r="C12">
        <v>382</v>
      </c>
      <c r="D12">
        <v>386</v>
      </c>
      <c r="E12">
        <v>768</v>
      </c>
      <c r="F12">
        <v>1.6338687373683649</v>
      </c>
      <c r="G12">
        <v>2295.9581151832458</v>
      </c>
      <c r="H12">
        <v>2532.945595854922</v>
      </c>
      <c r="I12">
        <v>-236.9874806716762</v>
      </c>
      <c r="J12">
        <v>3486.0240486164648</v>
      </c>
      <c r="K12">
        <v>3901.127784940541</v>
      </c>
      <c r="L12">
        <v>-0.88790244687163578</v>
      </c>
      <c r="M12">
        <v>0.37487481772668002</v>
      </c>
      <c r="N12" t="s">
        <v>43</v>
      </c>
      <c r="O12">
        <v>0</v>
      </c>
      <c r="P12">
        <v>0</v>
      </c>
      <c r="Q12">
        <v>0</v>
      </c>
      <c r="R12">
        <v>0.43717277486910988</v>
      </c>
      <c r="S12">
        <v>0.44559585492227982</v>
      </c>
      <c r="T12">
        <v>-8.4230800531698291E-3</v>
      </c>
      <c r="U12">
        <v>877056</v>
      </c>
      <c r="V12">
        <v>977717</v>
      </c>
      <c r="W12">
        <v>-100661</v>
      </c>
      <c r="X12">
        <v>1.5183308552378521</v>
      </c>
      <c r="Y12">
        <v>1.5401545897095461</v>
      </c>
    </row>
    <row r="13" spans="1:25" x14ac:dyDescent="0.3">
      <c r="A13" t="s">
        <v>27</v>
      </c>
      <c r="B13">
        <v>544</v>
      </c>
      <c r="C13">
        <v>377</v>
      </c>
      <c r="D13">
        <v>416</v>
      </c>
      <c r="E13">
        <v>793</v>
      </c>
      <c r="F13">
        <v>1.6870545686629079</v>
      </c>
      <c r="G13">
        <v>2685.856763925729</v>
      </c>
      <c r="H13">
        <v>2710.6201923076919</v>
      </c>
      <c r="I13">
        <v>-24.763428381962971</v>
      </c>
      <c r="J13">
        <v>3883.2685865903072</v>
      </c>
      <c r="K13">
        <v>4712.4754797202731</v>
      </c>
      <c r="L13">
        <v>-8.1035945733157894E-2</v>
      </c>
      <c r="M13">
        <v>0.9354340463643227</v>
      </c>
      <c r="N13" t="s">
        <v>43</v>
      </c>
      <c r="O13">
        <v>0</v>
      </c>
      <c r="P13">
        <v>0</v>
      </c>
      <c r="Q13">
        <v>0</v>
      </c>
      <c r="R13">
        <v>0.48541114058355439</v>
      </c>
      <c r="S13">
        <v>0.44230769230769229</v>
      </c>
      <c r="T13">
        <v>4.31034482758621E-2</v>
      </c>
      <c r="U13">
        <v>1012568</v>
      </c>
      <c r="V13">
        <v>1127618</v>
      </c>
      <c r="W13">
        <v>-115050</v>
      </c>
      <c r="X13">
        <v>1.4458211765970741</v>
      </c>
      <c r="Y13">
        <v>1.738522974592134</v>
      </c>
    </row>
    <row r="14" spans="1:25" x14ac:dyDescent="0.3">
      <c r="A14" t="s">
        <v>27</v>
      </c>
      <c r="B14">
        <v>516</v>
      </c>
      <c r="C14">
        <v>634</v>
      </c>
      <c r="D14">
        <v>636</v>
      </c>
      <c r="E14">
        <v>1270</v>
      </c>
      <c r="F14">
        <v>2.7018402297627908</v>
      </c>
      <c r="G14">
        <v>3294.4589905362782</v>
      </c>
      <c r="H14">
        <v>2924.132075471698</v>
      </c>
      <c r="I14">
        <v>370.32691506457968</v>
      </c>
      <c r="J14">
        <v>4585.7004980217807</v>
      </c>
      <c r="K14">
        <v>3831.666947312483</v>
      </c>
      <c r="L14">
        <v>1.5613992126527969</v>
      </c>
      <c r="M14">
        <v>0.11868727690424111</v>
      </c>
      <c r="N14" t="s">
        <v>43</v>
      </c>
      <c r="O14">
        <v>2308</v>
      </c>
      <c r="P14">
        <v>1873</v>
      </c>
      <c r="Q14">
        <v>435</v>
      </c>
      <c r="R14">
        <v>0.55205047318611988</v>
      </c>
      <c r="S14">
        <v>0.53930817610062898</v>
      </c>
      <c r="T14">
        <v>1.2742297085490909E-2</v>
      </c>
      <c r="U14">
        <v>2088687</v>
      </c>
      <c r="V14">
        <v>1859748</v>
      </c>
      <c r="W14">
        <v>228939</v>
      </c>
      <c r="X14">
        <v>1.391943415047735</v>
      </c>
      <c r="Y14">
        <v>1.310360424364343</v>
      </c>
    </row>
    <row r="15" spans="1:25" x14ac:dyDescent="0.3">
      <c r="A15" t="s">
        <v>27</v>
      </c>
      <c r="B15">
        <v>439</v>
      </c>
      <c r="C15">
        <v>355</v>
      </c>
      <c r="D15">
        <v>351</v>
      </c>
      <c r="E15">
        <v>706</v>
      </c>
      <c r="F15">
        <v>1.501967875757898</v>
      </c>
      <c r="G15">
        <v>2521.0591549295768</v>
      </c>
      <c r="H15">
        <v>2469.8376068376069</v>
      </c>
      <c r="I15">
        <v>51.221548091970362</v>
      </c>
      <c r="J15">
        <v>4161.0795792501276</v>
      </c>
      <c r="K15">
        <v>3791.5553151495551</v>
      </c>
      <c r="L15">
        <v>0.17099476895264579</v>
      </c>
      <c r="M15">
        <v>0.8642773381211124</v>
      </c>
      <c r="N15" t="s">
        <v>43</v>
      </c>
      <c r="O15">
        <v>0</v>
      </c>
      <c r="P15">
        <v>0</v>
      </c>
      <c r="Q15">
        <v>0</v>
      </c>
      <c r="R15">
        <v>0.43943661971830988</v>
      </c>
      <c r="S15">
        <v>0.45868945868945871</v>
      </c>
      <c r="T15">
        <v>-1.9252838971148819E-2</v>
      </c>
      <c r="U15">
        <v>894976</v>
      </c>
      <c r="V15">
        <v>866913</v>
      </c>
      <c r="W15">
        <v>28063</v>
      </c>
      <c r="X15">
        <v>1.650528338898245</v>
      </c>
      <c r="Y15">
        <v>1.535143567598471</v>
      </c>
    </row>
    <row r="16" spans="1:25" x14ac:dyDescent="0.3">
      <c r="A16" t="s">
        <v>28</v>
      </c>
      <c r="B16">
        <v>394</v>
      </c>
      <c r="C16">
        <v>104</v>
      </c>
      <c r="D16">
        <v>85</v>
      </c>
      <c r="E16">
        <v>189</v>
      </c>
      <c r="F16">
        <v>0.40208488458674613</v>
      </c>
      <c r="G16">
        <v>1296.375</v>
      </c>
      <c r="H16">
        <v>973.62352941176471</v>
      </c>
      <c r="I16">
        <v>322.75147058823529</v>
      </c>
      <c r="J16">
        <v>2384.482310090792</v>
      </c>
      <c r="K16">
        <v>1940.8548250244589</v>
      </c>
      <c r="L16">
        <v>1.0258367630794081</v>
      </c>
      <c r="M16">
        <v>0.30629368757776992</v>
      </c>
      <c r="N16" t="s">
        <v>43</v>
      </c>
      <c r="O16">
        <v>0</v>
      </c>
      <c r="P16">
        <v>0</v>
      </c>
      <c r="Q16">
        <v>0</v>
      </c>
      <c r="R16">
        <v>0.31730769230769229</v>
      </c>
      <c r="S16">
        <v>0.2470588235294118</v>
      </c>
      <c r="T16">
        <v>7.0248868778280515E-2</v>
      </c>
      <c r="U16">
        <v>134823</v>
      </c>
      <c r="V16">
        <v>82758</v>
      </c>
      <c r="W16">
        <v>52065</v>
      </c>
      <c r="X16">
        <v>1.8393461074849431</v>
      </c>
      <c r="Y16">
        <v>1.9934345939616589</v>
      </c>
    </row>
    <row r="17" spans="1:25" x14ac:dyDescent="0.3">
      <c r="A17" t="s">
        <v>28</v>
      </c>
      <c r="B17">
        <v>576</v>
      </c>
      <c r="C17">
        <v>630</v>
      </c>
      <c r="D17">
        <v>657</v>
      </c>
      <c r="E17">
        <v>1287</v>
      </c>
      <c r="F17">
        <v>2.738006595043081</v>
      </c>
      <c r="G17">
        <v>1627.484126984127</v>
      </c>
      <c r="H17">
        <v>1357.9741248097409</v>
      </c>
      <c r="I17">
        <v>269.51000217438582</v>
      </c>
      <c r="J17">
        <v>2702.356746074523</v>
      </c>
      <c r="K17">
        <v>2429.7625663637709</v>
      </c>
      <c r="L17">
        <v>1.878789060489223</v>
      </c>
      <c r="M17">
        <v>6.0504447710871267E-2</v>
      </c>
      <c r="N17" t="s">
        <v>43</v>
      </c>
      <c r="O17">
        <v>0</v>
      </c>
      <c r="P17">
        <v>0</v>
      </c>
      <c r="Q17">
        <v>0</v>
      </c>
      <c r="R17">
        <v>0.35238095238095241</v>
      </c>
      <c r="S17">
        <v>0.30898021308980211</v>
      </c>
      <c r="T17">
        <v>4.3400739291150292E-2</v>
      </c>
      <c r="U17">
        <v>1025315</v>
      </c>
      <c r="V17">
        <v>892189</v>
      </c>
      <c r="W17">
        <v>133126</v>
      </c>
      <c r="X17">
        <v>1.660450446962104</v>
      </c>
      <c r="Y17">
        <v>1.7892554224508459</v>
      </c>
    </row>
    <row r="18" spans="1:25" x14ac:dyDescent="0.3">
      <c r="A18" t="s">
        <v>28</v>
      </c>
      <c r="B18">
        <v>309</v>
      </c>
      <c r="C18">
        <v>240</v>
      </c>
      <c r="D18">
        <v>238</v>
      </c>
      <c r="E18">
        <v>478</v>
      </c>
      <c r="F18">
        <v>1.0169130943516651</v>
      </c>
      <c r="G18">
        <v>2720.7375000000002</v>
      </c>
      <c r="H18">
        <v>2451.2142857142858</v>
      </c>
      <c r="I18">
        <v>269.5232142857144</v>
      </c>
      <c r="J18">
        <v>2829.9681315106891</v>
      </c>
      <c r="K18">
        <v>2779.3551145224392</v>
      </c>
      <c r="L18">
        <v>1.050496412103596</v>
      </c>
      <c r="M18">
        <v>0.29402302044037332</v>
      </c>
      <c r="N18" t="s">
        <v>43</v>
      </c>
      <c r="O18">
        <v>2544</v>
      </c>
      <c r="P18">
        <v>2428</v>
      </c>
      <c r="Q18">
        <v>116</v>
      </c>
      <c r="R18">
        <v>0.60833333333333328</v>
      </c>
      <c r="S18">
        <v>0.55462184873949583</v>
      </c>
      <c r="T18">
        <v>5.3711484593837462E-2</v>
      </c>
      <c r="U18">
        <v>652977</v>
      </c>
      <c r="V18">
        <v>583389</v>
      </c>
      <c r="W18">
        <v>69588</v>
      </c>
      <c r="X18">
        <v>1.040147434844666</v>
      </c>
      <c r="Y18">
        <v>1.1338686832565239</v>
      </c>
    </row>
    <row r="19" spans="1:25" x14ac:dyDescent="0.3">
      <c r="A19" t="s">
        <v>29</v>
      </c>
      <c r="B19">
        <v>6543</v>
      </c>
      <c r="C19">
        <v>662</v>
      </c>
      <c r="D19">
        <v>689</v>
      </c>
      <c r="E19">
        <v>1351</v>
      </c>
      <c r="F19">
        <v>2.874162323157111</v>
      </c>
      <c r="G19">
        <v>1757.419939577039</v>
      </c>
      <c r="H19">
        <v>1568.615384615385</v>
      </c>
      <c r="I19">
        <v>188.8045549616547</v>
      </c>
      <c r="J19">
        <v>2486.3291624135431</v>
      </c>
      <c r="K19">
        <v>2341.7382342953392</v>
      </c>
      <c r="L19">
        <v>1.435574904942146</v>
      </c>
      <c r="M19">
        <v>0.15135746779558601</v>
      </c>
      <c r="N19" t="s">
        <v>43</v>
      </c>
      <c r="O19">
        <v>0</v>
      </c>
      <c r="P19">
        <v>0</v>
      </c>
      <c r="Q19">
        <v>0</v>
      </c>
      <c r="R19">
        <v>0.42447129909365561</v>
      </c>
      <c r="S19">
        <v>0.409288824383164</v>
      </c>
      <c r="T19">
        <v>1.518247471049161E-2</v>
      </c>
      <c r="U19">
        <v>1163412</v>
      </c>
      <c r="V19">
        <v>1080776</v>
      </c>
      <c r="W19">
        <v>82636</v>
      </c>
      <c r="X19">
        <v>1.4147609836564909</v>
      </c>
      <c r="Y19">
        <v>1.492869607975648</v>
      </c>
    </row>
    <row r="20" spans="1:25" x14ac:dyDescent="0.3">
      <c r="A20" t="s">
        <v>29</v>
      </c>
      <c r="B20">
        <v>3987</v>
      </c>
      <c r="C20">
        <v>801</v>
      </c>
      <c r="D20">
        <v>785</v>
      </c>
      <c r="E20">
        <v>1586</v>
      </c>
      <c r="F20">
        <v>3.3741091373258159</v>
      </c>
      <c r="G20">
        <v>1633.3196004993761</v>
      </c>
      <c r="H20">
        <v>1670.8</v>
      </c>
      <c r="I20">
        <v>-37.480399500624117</v>
      </c>
      <c r="J20">
        <v>2548.604316626625</v>
      </c>
      <c r="K20">
        <v>2687.2361340801772</v>
      </c>
      <c r="L20">
        <v>-0.28489132541498541</v>
      </c>
      <c r="M20">
        <v>0.77576484303291027</v>
      </c>
      <c r="N20" t="s">
        <v>43</v>
      </c>
      <c r="O20">
        <v>0</v>
      </c>
      <c r="P20">
        <v>0</v>
      </c>
      <c r="Q20">
        <v>0</v>
      </c>
      <c r="R20">
        <v>0.38826466916354557</v>
      </c>
      <c r="S20">
        <v>0.40382165605095538</v>
      </c>
      <c r="T20">
        <v>-1.5556986887409859E-2</v>
      </c>
      <c r="U20">
        <v>1308289</v>
      </c>
      <c r="V20">
        <v>1311578</v>
      </c>
      <c r="W20">
        <v>-3289</v>
      </c>
      <c r="X20">
        <v>1.56038310925027</v>
      </c>
      <c r="Y20">
        <v>1.6083529650946711</v>
      </c>
    </row>
    <row r="21" spans="1:25" x14ac:dyDescent="0.3">
      <c r="A21" t="s">
        <v>29</v>
      </c>
      <c r="B21">
        <v>8543</v>
      </c>
      <c r="C21">
        <v>148</v>
      </c>
      <c r="D21">
        <v>140</v>
      </c>
      <c r="E21">
        <v>288</v>
      </c>
      <c r="F21">
        <v>0.61270077651313692</v>
      </c>
      <c r="G21">
        <v>1859.7770270270271</v>
      </c>
      <c r="H21">
        <v>1853.8214285714289</v>
      </c>
      <c r="I21">
        <v>5.9555984555984196</v>
      </c>
      <c r="J21">
        <v>2568.9804293811749</v>
      </c>
      <c r="K21">
        <v>3049.1247388256852</v>
      </c>
      <c r="L21">
        <v>1.7875687320310089E-2</v>
      </c>
      <c r="M21">
        <v>0.98575111701597196</v>
      </c>
      <c r="N21" t="s">
        <v>43</v>
      </c>
      <c r="O21">
        <v>0</v>
      </c>
      <c r="P21">
        <v>0</v>
      </c>
      <c r="Q21">
        <v>0</v>
      </c>
      <c r="R21">
        <v>0.44594594594594589</v>
      </c>
      <c r="S21">
        <v>0.37857142857142861</v>
      </c>
      <c r="T21">
        <v>6.7374517374517384E-2</v>
      </c>
      <c r="U21">
        <v>275247</v>
      </c>
      <c r="V21">
        <v>259535</v>
      </c>
      <c r="W21">
        <v>15712</v>
      </c>
      <c r="X21">
        <v>1.381337865802039</v>
      </c>
      <c r="Y21">
        <v>1.644778020057394</v>
      </c>
    </row>
    <row r="22" spans="1:25" x14ac:dyDescent="0.3">
      <c r="A22" t="s">
        <v>29</v>
      </c>
      <c r="B22">
        <v>2212</v>
      </c>
      <c r="C22">
        <v>422</v>
      </c>
      <c r="D22">
        <v>397</v>
      </c>
      <c r="E22">
        <v>819</v>
      </c>
      <c r="F22">
        <v>1.7423678332092329</v>
      </c>
      <c r="G22">
        <v>2851.9052132701422</v>
      </c>
      <c r="H22">
        <v>2826.7682619647348</v>
      </c>
      <c r="I22">
        <v>25.13695130540691</v>
      </c>
      <c r="J22">
        <v>3194.8953176523069</v>
      </c>
      <c r="K22">
        <v>2476.5025429326261</v>
      </c>
      <c r="L22">
        <v>0.1262596412891325</v>
      </c>
      <c r="M22">
        <v>0.89955858748748652</v>
      </c>
      <c r="N22" t="s">
        <v>43</v>
      </c>
      <c r="O22">
        <v>2773</v>
      </c>
      <c r="P22">
        <v>2961</v>
      </c>
      <c r="Q22">
        <v>-188</v>
      </c>
      <c r="R22">
        <v>0.65876777251184837</v>
      </c>
      <c r="S22">
        <v>0.70780856423173799</v>
      </c>
      <c r="T22">
        <v>-4.904079171988962E-2</v>
      </c>
      <c r="U22">
        <v>1203504</v>
      </c>
      <c r="V22">
        <v>1122227</v>
      </c>
      <c r="W22">
        <v>81277</v>
      </c>
      <c r="X22">
        <v>1.1202670070471501</v>
      </c>
      <c r="Y22">
        <v>0.87608969445954576</v>
      </c>
    </row>
    <row r="23" spans="1:25" x14ac:dyDescent="0.3">
      <c r="A23" t="s">
        <v>29</v>
      </c>
      <c r="B23">
        <v>9121</v>
      </c>
      <c r="C23">
        <v>131</v>
      </c>
      <c r="D23">
        <v>108</v>
      </c>
      <c r="E23">
        <v>239</v>
      </c>
      <c r="F23">
        <v>0.50845654717583233</v>
      </c>
      <c r="G23">
        <v>2003.343511450382</v>
      </c>
      <c r="H23">
        <v>1889.0740740740739</v>
      </c>
      <c r="I23">
        <v>114.26943737630749</v>
      </c>
      <c r="J23">
        <v>2650.5649057424962</v>
      </c>
      <c r="K23">
        <v>2522.730395557036</v>
      </c>
      <c r="L23">
        <v>0.34059903991159968</v>
      </c>
      <c r="M23">
        <v>0.73371349110783424</v>
      </c>
      <c r="N23" t="s">
        <v>43</v>
      </c>
      <c r="O23">
        <v>0</v>
      </c>
      <c r="P23">
        <v>0</v>
      </c>
      <c r="Q23">
        <v>0</v>
      </c>
      <c r="R23">
        <v>0.44274809160305351</v>
      </c>
      <c r="S23">
        <v>0.49074074074074081</v>
      </c>
      <c r="T23">
        <v>-4.7992649137687297E-2</v>
      </c>
      <c r="U23">
        <v>262438</v>
      </c>
      <c r="V23">
        <v>204020</v>
      </c>
      <c r="W23">
        <v>58418</v>
      </c>
      <c r="X23">
        <v>1.323070602017494</v>
      </c>
      <c r="Y23">
        <v>1.335432225860993</v>
      </c>
    </row>
    <row r="24" spans="1:25" x14ac:dyDescent="0.3">
      <c r="A24" t="s">
        <v>29</v>
      </c>
      <c r="B24">
        <v>3786</v>
      </c>
      <c r="C24">
        <v>237</v>
      </c>
      <c r="D24">
        <v>278</v>
      </c>
      <c r="E24">
        <v>515</v>
      </c>
      <c r="F24">
        <v>1.095628124667589</v>
      </c>
      <c r="G24">
        <v>2709.8649789029541</v>
      </c>
      <c r="H24">
        <v>2763.1223021582732</v>
      </c>
      <c r="I24">
        <v>-53.257323255319527</v>
      </c>
      <c r="J24">
        <v>2754.9136130903162</v>
      </c>
      <c r="K24">
        <v>3299.4400311695558</v>
      </c>
      <c r="L24">
        <v>-0.1996143941938042</v>
      </c>
      <c r="M24">
        <v>0.84186129964620016</v>
      </c>
      <c r="N24" t="s">
        <v>43</v>
      </c>
      <c r="O24">
        <v>2636</v>
      </c>
      <c r="P24">
        <v>2745.5</v>
      </c>
      <c r="Q24">
        <v>-109.5</v>
      </c>
      <c r="R24">
        <v>0.65822784810126578</v>
      </c>
      <c r="S24">
        <v>0.64388489208633093</v>
      </c>
      <c r="T24">
        <v>1.4342956014934851E-2</v>
      </c>
      <c r="U24">
        <v>642238</v>
      </c>
      <c r="V24">
        <v>768148</v>
      </c>
      <c r="W24">
        <v>-125910</v>
      </c>
      <c r="X24">
        <v>1.0166239405055519</v>
      </c>
      <c r="Y24">
        <v>1.1940984402291439</v>
      </c>
    </row>
    <row r="25" spans="1:25" x14ac:dyDescent="0.3">
      <c r="A25" t="s">
        <v>30</v>
      </c>
      <c r="B25">
        <v>46</v>
      </c>
      <c r="C25">
        <v>557</v>
      </c>
      <c r="D25">
        <v>529</v>
      </c>
      <c r="E25">
        <v>1086</v>
      </c>
      <c r="F25">
        <v>2.3103925114349542</v>
      </c>
      <c r="G25">
        <v>2367.3249551166959</v>
      </c>
      <c r="H25">
        <v>2398.370510396976</v>
      </c>
      <c r="I25">
        <v>-31.045555280279132</v>
      </c>
      <c r="J25">
        <v>2517.929274476277</v>
      </c>
      <c r="K25">
        <v>2772.1264153104571</v>
      </c>
      <c r="L25">
        <v>-0.19287358139278049</v>
      </c>
      <c r="M25">
        <v>0.847094887812466</v>
      </c>
      <c r="N25" t="s">
        <v>43</v>
      </c>
      <c r="O25">
        <v>3470</v>
      </c>
      <c r="P25">
        <v>1970</v>
      </c>
      <c r="Q25">
        <v>1500</v>
      </c>
      <c r="R25">
        <v>0.54219030520646316</v>
      </c>
      <c r="S25">
        <v>0.55765595463137996</v>
      </c>
      <c r="T25">
        <v>-1.5465649424916791E-2</v>
      </c>
      <c r="U25">
        <v>1318600</v>
      </c>
      <c r="V25">
        <v>1268738</v>
      </c>
      <c r="W25">
        <v>49862</v>
      </c>
      <c r="X25">
        <v>1.0636179325673341</v>
      </c>
      <c r="Y25">
        <v>1.155837433496302</v>
      </c>
    </row>
    <row r="26" spans="1:25" x14ac:dyDescent="0.3">
      <c r="A26" t="s">
        <v>31</v>
      </c>
      <c r="B26">
        <v>80</v>
      </c>
      <c r="C26">
        <v>844</v>
      </c>
      <c r="D26">
        <v>880</v>
      </c>
      <c r="E26">
        <v>1724</v>
      </c>
      <c r="F26">
        <v>3.6676949260716949</v>
      </c>
      <c r="G26">
        <v>2595.4466824644551</v>
      </c>
      <c r="H26">
        <v>2551.4045454545449</v>
      </c>
      <c r="I26">
        <v>44.042137009909773</v>
      </c>
      <c r="J26">
        <v>2799.9876818490138</v>
      </c>
      <c r="K26">
        <v>2836.7956048565711</v>
      </c>
      <c r="L26">
        <v>0.3243851280756056</v>
      </c>
      <c r="M26">
        <v>0.74568590824210923</v>
      </c>
      <c r="N26" t="s">
        <v>43</v>
      </c>
      <c r="O26">
        <v>2366.5</v>
      </c>
      <c r="P26">
        <v>2248</v>
      </c>
      <c r="Q26">
        <v>118.5</v>
      </c>
      <c r="R26">
        <v>0.60071090047393361</v>
      </c>
      <c r="S26">
        <v>0.57613636363636367</v>
      </c>
      <c r="T26">
        <v>2.4574536837569941E-2</v>
      </c>
      <c r="U26">
        <v>2190557</v>
      </c>
      <c r="V26">
        <v>2245236</v>
      </c>
      <c r="W26">
        <v>-54679</v>
      </c>
      <c r="X26">
        <v>1.078807629055335</v>
      </c>
      <c r="Y26">
        <v>1.1118564517377161</v>
      </c>
    </row>
    <row r="27" spans="1:25" x14ac:dyDescent="0.3">
      <c r="A27" t="s">
        <v>31</v>
      </c>
      <c r="B27">
        <v>82</v>
      </c>
      <c r="C27">
        <v>169</v>
      </c>
      <c r="D27">
        <v>229</v>
      </c>
      <c r="E27">
        <v>398</v>
      </c>
      <c r="F27">
        <v>0.84671843420912674</v>
      </c>
      <c r="G27">
        <v>2606.544378698225</v>
      </c>
      <c r="H27">
        <v>2670.8253275109168</v>
      </c>
      <c r="I27">
        <v>-64.280948812691804</v>
      </c>
      <c r="J27">
        <v>2669.7805776580649</v>
      </c>
      <c r="K27">
        <v>2924.5370596412931</v>
      </c>
      <c r="L27">
        <v>-0.22794535162775681</v>
      </c>
      <c r="M27">
        <v>0.81981179514703606</v>
      </c>
      <c r="N27" t="s">
        <v>43</v>
      </c>
      <c r="O27">
        <v>2524</v>
      </c>
      <c r="P27">
        <v>2441</v>
      </c>
      <c r="Q27">
        <v>83</v>
      </c>
      <c r="R27">
        <v>0.62130177514792895</v>
      </c>
      <c r="S27">
        <v>0.59825327510917026</v>
      </c>
      <c r="T27">
        <v>2.304850003875869E-2</v>
      </c>
      <c r="U27">
        <v>440506</v>
      </c>
      <c r="V27">
        <v>611619</v>
      </c>
      <c r="W27">
        <v>-171113</v>
      </c>
      <c r="X27">
        <v>1.024260549513998</v>
      </c>
      <c r="Y27">
        <v>1.0949937569922721</v>
      </c>
    </row>
    <row r="28" spans="1:25" x14ac:dyDescent="0.3">
      <c r="A28" t="s">
        <v>32</v>
      </c>
      <c r="B28">
        <v>88</v>
      </c>
      <c r="C28">
        <v>190</v>
      </c>
      <c r="D28">
        <v>167</v>
      </c>
      <c r="E28">
        <v>357</v>
      </c>
      <c r="F28">
        <v>0.75949367088607589</v>
      </c>
      <c r="G28">
        <v>2993.726315789474</v>
      </c>
      <c r="H28">
        <v>2439.4610778443121</v>
      </c>
      <c r="I28">
        <v>554.26523794516197</v>
      </c>
      <c r="J28">
        <v>3100.0396462462431</v>
      </c>
      <c r="K28">
        <v>2689.3430530913829</v>
      </c>
      <c r="L28">
        <v>1.8088820073322911</v>
      </c>
      <c r="M28">
        <v>7.1315348863462399E-2</v>
      </c>
      <c r="N28" t="s">
        <v>43</v>
      </c>
      <c r="O28">
        <v>2536</v>
      </c>
      <c r="P28">
        <v>1820</v>
      </c>
      <c r="Q28">
        <v>716</v>
      </c>
      <c r="R28">
        <v>0.65789473684210531</v>
      </c>
      <c r="S28">
        <v>0.58083832335329344</v>
      </c>
      <c r="T28">
        <v>7.705641348881187E-2</v>
      </c>
      <c r="U28">
        <v>568808</v>
      </c>
      <c r="V28">
        <v>407390</v>
      </c>
      <c r="W28">
        <v>161418</v>
      </c>
      <c r="X28">
        <v>1.0355120405950451</v>
      </c>
      <c r="Y28">
        <v>1.1024332700023589</v>
      </c>
    </row>
    <row r="29" spans="1:25" x14ac:dyDescent="0.3">
      <c r="A29" t="s">
        <v>33</v>
      </c>
      <c r="B29">
        <v>19</v>
      </c>
      <c r="C29">
        <v>130</v>
      </c>
      <c r="D29">
        <v>146</v>
      </c>
      <c r="E29">
        <v>276</v>
      </c>
      <c r="F29">
        <v>0.58717157749175619</v>
      </c>
      <c r="G29">
        <v>2070.5153846153839</v>
      </c>
      <c r="H29">
        <v>1790.91095890411</v>
      </c>
      <c r="I29">
        <v>279.60442571127493</v>
      </c>
      <c r="J29">
        <v>2438.7158211547799</v>
      </c>
      <c r="K29">
        <v>2918.9266447676009</v>
      </c>
      <c r="L29">
        <v>0.86657582931211119</v>
      </c>
      <c r="M29">
        <v>0.38693565729864549</v>
      </c>
      <c r="N29" t="s">
        <v>43</v>
      </c>
      <c r="O29">
        <v>1072.5</v>
      </c>
      <c r="P29">
        <v>0</v>
      </c>
      <c r="Q29">
        <v>1072.5</v>
      </c>
      <c r="R29">
        <v>0.53076923076923077</v>
      </c>
      <c r="S29">
        <v>0.38356164383561642</v>
      </c>
      <c r="T29">
        <v>0.14720758693361441</v>
      </c>
      <c r="U29">
        <v>269167</v>
      </c>
      <c r="V29">
        <v>261473</v>
      </c>
      <c r="W29">
        <v>7694</v>
      </c>
      <c r="X29">
        <v>1.17783033117032</v>
      </c>
      <c r="Y29">
        <v>1.6298558173733799</v>
      </c>
    </row>
    <row r="30" spans="1:25" x14ac:dyDescent="0.3">
      <c r="A30" t="s">
        <v>34</v>
      </c>
      <c r="B30">
        <v>66</v>
      </c>
      <c r="C30">
        <v>657</v>
      </c>
      <c r="D30">
        <v>703</v>
      </c>
      <c r="E30">
        <v>1360</v>
      </c>
      <c r="F30">
        <v>2.893309222423146</v>
      </c>
      <c r="G30">
        <v>2362.8127853881278</v>
      </c>
      <c r="H30">
        <v>2646.1849217638692</v>
      </c>
      <c r="I30">
        <v>-283.37213637574132</v>
      </c>
      <c r="J30">
        <v>2724.9980627573782</v>
      </c>
      <c r="K30">
        <v>2831.807532341868</v>
      </c>
      <c r="L30">
        <v>-1.8804208002785869</v>
      </c>
      <c r="M30">
        <v>6.0264804072985109E-2</v>
      </c>
      <c r="N30" t="s">
        <v>43</v>
      </c>
      <c r="O30">
        <v>1796</v>
      </c>
      <c r="P30">
        <v>2289</v>
      </c>
      <c r="Q30">
        <v>-493</v>
      </c>
      <c r="R30">
        <v>0.56468797564687978</v>
      </c>
      <c r="S30">
        <v>0.60455192034139404</v>
      </c>
      <c r="T30">
        <v>-3.9863944694514257E-2</v>
      </c>
      <c r="U30">
        <v>1552368</v>
      </c>
      <c r="V30">
        <v>1860268</v>
      </c>
      <c r="W30">
        <v>-307900</v>
      </c>
      <c r="X30">
        <v>1.15328564311529</v>
      </c>
      <c r="Y30">
        <v>1.0701472557912799</v>
      </c>
    </row>
    <row r="31" spans="1:25" x14ac:dyDescent="0.3">
      <c r="A31" t="s">
        <v>35</v>
      </c>
      <c r="B31">
        <v>72</v>
      </c>
      <c r="C31">
        <v>609</v>
      </c>
      <c r="D31">
        <v>639</v>
      </c>
      <c r="E31">
        <v>1248</v>
      </c>
      <c r="F31">
        <v>2.655036698223594</v>
      </c>
      <c r="G31">
        <v>2445.5057471264372</v>
      </c>
      <c r="H31">
        <v>2566.8184663536781</v>
      </c>
      <c r="I31">
        <v>-121.3127192272409</v>
      </c>
      <c r="J31">
        <v>2910.9699432056191</v>
      </c>
      <c r="K31">
        <v>2826.0434788628631</v>
      </c>
      <c r="L31">
        <v>-0.74644913068045438</v>
      </c>
      <c r="M31">
        <v>0.45553781254794917</v>
      </c>
      <c r="N31" t="s">
        <v>43</v>
      </c>
      <c r="O31">
        <v>1775</v>
      </c>
      <c r="P31">
        <v>2344</v>
      </c>
      <c r="Q31">
        <v>-569</v>
      </c>
      <c r="R31">
        <v>0.5451559934318555</v>
      </c>
      <c r="S31">
        <v>0.57746478873239437</v>
      </c>
      <c r="T31">
        <v>-3.2308795300538873E-2</v>
      </c>
      <c r="U31">
        <v>1489313</v>
      </c>
      <c r="V31">
        <v>1640197</v>
      </c>
      <c r="W31">
        <v>-150884</v>
      </c>
      <c r="X31">
        <v>1.19033453371603</v>
      </c>
      <c r="Y31">
        <v>1.100990785249192</v>
      </c>
    </row>
    <row r="32" spans="1:25" x14ac:dyDescent="0.3">
      <c r="A32" t="s">
        <v>35</v>
      </c>
      <c r="B32">
        <v>73</v>
      </c>
      <c r="C32">
        <v>187</v>
      </c>
      <c r="D32">
        <v>167</v>
      </c>
      <c r="E32">
        <v>354</v>
      </c>
      <c r="F32">
        <v>0.75311137113073079</v>
      </c>
      <c r="G32">
        <v>2110.7379679144378</v>
      </c>
      <c r="H32">
        <v>2584.2934131736529</v>
      </c>
      <c r="I32">
        <v>-473.55544525921459</v>
      </c>
      <c r="J32">
        <v>2527.5712663026652</v>
      </c>
      <c r="K32">
        <v>2857.5614410356452</v>
      </c>
      <c r="L32">
        <v>-1.643142367542952</v>
      </c>
      <c r="M32">
        <v>0.1012955021097436</v>
      </c>
      <c r="N32" t="s">
        <v>43</v>
      </c>
      <c r="O32">
        <v>725</v>
      </c>
      <c r="P32">
        <v>2249</v>
      </c>
      <c r="Q32">
        <v>-1524</v>
      </c>
      <c r="R32">
        <v>0.5133689839572193</v>
      </c>
      <c r="S32">
        <v>0.60479041916167664</v>
      </c>
      <c r="T32">
        <v>-9.1421435204457335E-2</v>
      </c>
      <c r="U32">
        <v>394708</v>
      </c>
      <c r="V32">
        <v>431577</v>
      </c>
      <c r="W32">
        <v>-36869</v>
      </c>
      <c r="X32">
        <v>1.1974822572600461</v>
      </c>
      <c r="Y32">
        <v>1.105741873762857</v>
      </c>
    </row>
    <row r="33" spans="1:25" x14ac:dyDescent="0.3">
      <c r="A33" t="s">
        <v>38</v>
      </c>
      <c r="B33">
        <v>1989</v>
      </c>
      <c r="C33">
        <v>239</v>
      </c>
      <c r="D33">
        <v>270</v>
      </c>
      <c r="E33">
        <v>509</v>
      </c>
      <c r="F33">
        <v>1.0828635251568981</v>
      </c>
      <c r="G33">
        <v>4479.9790794979081</v>
      </c>
      <c r="H33">
        <v>4228.2185185185181</v>
      </c>
      <c r="I33">
        <v>251.76056097938999</v>
      </c>
      <c r="J33">
        <v>2713.6843268167559</v>
      </c>
      <c r="K33">
        <v>2443.6710409818088</v>
      </c>
      <c r="L33">
        <v>1.0943129580191699</v>
      </c>
      <c r="M33">
        <v>0.27436385055044321</v>
      </c>
      <c r="N33" t="s">
        <v>43</v>
      </c>
      <c r="O33">
        <v>3860</v>
      </c>
      <c r="P33">
        <v>3786</v>
      </c>
      <c r="Q33">
        <v>74</v>
      </c>
      <c r="R33">
        <v>0.9874476987447699</v>
      </c>
      <c r="S33">
        <v>0.97777777777777775</v>
      </c>
      <c r="T33">
        <v>9.6699209669921515E-3</v>
      </c>
      <c r="U33">
        <v>1070715</v>
      </c>
      <c r="V33">
        <v>1141619</v>
      </c>
      <c r="W33">
        <v>-70904</v>
      </c>
      <c r="X33">
        <v>0.6057359373028347</v>
      </c>
      <c r="Y33">
        <v>0.57794341287687789</v>
      </c>
    </row>
    <row r="34" spans="1:25" x14ac:dyDescent="0.3">
      <c r="A34" t="s">
        <v>39</v>
      </c>
      <c r="B34">
        <v>26</v>
      </c>
      <c r="C34">
        <v>239</v>
      </c>
      <c r="D34">
        <v>195</v>
      </c>
      <c r="E34">
        <v>434</v>
      </c>
      <c r="F34">
        <v>0.92330603127326882</v>
      </c>
      <c r="G34">
        <v>3092.510460251046</v>
      </c>
      <c r="H34">
        <v>3025.1282051282051</v>
      </c>
      <c r="I34">
        <v>67.382255122840888</v>
      </c>
      <c r="J34">
        <v>2801.8639457097611</v>
      </c>
      <c r="K34">
        <v>2586.5903917344071</v>
      </c>
      <c r="L34">
        <v>0.26001582728272132</v>
      </c>
      <c r="M34">
        <v>0.79497735592018937</v>
      </c>
      <c r="N34" t="s">
        <v>43</v>
      </c>
      <c r="O34">
        <v>3470</v>
      </c>
      <c r="P34">
        <v>3470</v>
      </c>
      <c r="Q34">
        <v>0</v>
      </c>
      <c r="R34">
        <v>0.69037656903765687</v>
      </c>
      <c r="S34">
        <v>0.67692307692307696</v>
      </c>
      <c r="T34">
        <v>1.3453492114579911E-2</v>
      </c>
      <c r="U34">
        <v>739110</v>
      </c>
      <c r="V34">
        <v>589900</v>
      </c>
      <c r="W34">
        <v>149210</v>
      </c>
      <c r="X34">
        <v>0.9060159962991069</v>
      </c>
      <c r="Y34">
        <v>0.85503496590644079</v>
      </c>
    </row>
    <row r="35" spans="1:25" x14ac:dyDescent="0.3">
      <c r="A35" t="s">
        <v>40</v>
      </c>
      <c r="B35">
        <v>69</v>
      </c>
      <c r="C35">
        <v>75</v>
      </c>
      <c r="D35">
        <v>78</v>
      </c>
      <c r="E35">
        <v>153</v>
      </c>
      <c r="F35">
        <v>0.32549728752260398</v>
      </c>
      <c r="G35">
        <v>1171.4533333333329</v>
      </c>
      <c r="H35">
        <v>733.61538461538464</v>
      </c>
      <c r="I35">
        <v>437.83794871794868</v>
      </c>
      <c r="J35">
        <v>2578.1041027632468</v>
      </c>
      <c r="K35">
        <v>2055.0310657794639</v>
      </c>
      <c r="L35">
        <v>1.158785745586266</v>
      </c>
      <c r="M35">
        <v>0.24849761042822749</v>
      </c>
      <c r="N35" t="s">
        <v>43</v>
      </c>
      <c r="O35">
        <v>0</v>
      </c>
      <c r="P35">
        <v>0</v>
      </c>
      <c r="Q35">
        <v>0</v>
      </c>
      <c r="R35">
        <v>0.21333333333333329</v>
      </c>
      <c r="S35">
        <v>0.15384615384615391</v>
      </c>
      <c r="T35">
        <v>5.9487179487179492E-2</v>
      </c>
      <c r="U35">
        <v>87859</v>
      </c>
      <c r="V35">
        <v>57222</v>
      </c>
      <c r="W35">
        <v>30637</v>
      </c>
      <c r="X35">
        <v>2.20077405510242</v>
      </c>
      <c r="Y35">
        <v>2.801237690587504</v>
      </c>
    </row>
    <row r="36" spans="1:25" x14ac:dyDescent="0.3">
      <c r="A36" t="s">
        <v>41</v>
      </c>
      <c r="B36">
        <v>1</v>
      </c>
      <c r="C36">
        <v>93</v>
      </c>
      <c r="D36">
        <v>74</v>
      </c>
      <c r="E36">
        <v>167</v>
      </c>
      <c r="F36">
        <v>0.35528135304754821</v>
      </c>
      <c r="G36">
        <v>970.10752688172045</v>
      </c>
      <c r="H36">
        <v>844.05405405405406</v>
      </c>
      <c r="I36">
        <v>126.0534728276664</v>
      </c>
      <c r="J36">
        <v>1799.1111903572889</v>
      </c>
      <c r="K36">
        <v>1799.017935231529</v>
      </c>
      <c r="L36">
        <v>0.44978860122255537</v>
      </c>
      <c r="M36">
        <v>0.65348452074940855</v>
      </c>
      <c r="N36" t="s">
        <v>43</v>
      </c>
      <c r="O36">
        <v>0</v>
      </c>
      <c r="P36">
        <v>0</v>
      </c>
      <c r="Q36">
        <v>0</v>
      </c>
      <c r="R36">
        <v>0.24731182795698919</v>
      </c>
      <c r="S36">
        <v>0.20270270270270269</v>
      </c>
      <c r="T36">
        <v>4.4609125254286543E-2</v>
      </c>
      <c r="U36">
        <v>90220</v>
      </c>
      <c r="V36">
        <v>62460</v>
      </c>
      <c r="W36">
        <v>27760</v>
      </c>
      <c r="X36">
        <v>1.8545482232678769</v>
      </c>
      <c r="Y36">
        <v>2.1314013321667171</v>
      </c>
    </row>
    <row r="37" spans="1:25" x14ac:dyDescent="0.3">
      <c r="A37" t="s">
        <v>42</v>
      </c>
      <c r="B37">
        <v>2</v>
      </c>
      <c r="C37">
        <v>78</v>
      </c>
      <c r="D37">
        <v>71</v>
      </c>
      <c r="E37">
        <v>149</v>
      </c>
      <c r="F37">
        <v>0.31698755451547711</v>
      </c>
      <c r="G37">
        <v>579.33333333333337</v>
      </c>
      <c r="H37">
        <v>483.45070422535213</v>
      </c>
      <c r="I37">
        <v>95.882629107981245</v>
      </c>
      <c r="J37">
        <v>1860.7624304329711</v>
      </c>
      <c r="K37">
        <v>1654.923181546782</v>
      </c>
      <c r="L37">
        <v>0.33288475854446581</v>
      </c>
      <c r="M37">
        <v>0.73969578830356453</v>
      </c>
      <c r="N37" t="s">
        <v>43</v>
      </c>
      <c r="O37">
        <v>0</v>
      </c>
      <c r="P37">
        <v>0</v>
      </c>
      <c r="Q37">
        <v>0</v>
      </c>
      <c r="R37">
        <v>0.1153846153846154</v>
      </c>
      <c r="S37">
        <v>9.8591549295774641E-2</v>
      </c>
      <c r="T37">
        <v>1.679306608884075E-2</v>
      </c>
      <c r="U37">
        <v>45188</v>
      </c>
      <c r="V37">
        <v>34325</v>
      </c>
      <c r="W37">
        <v>10863</v>
      </c>
      <c r="X37">
        <v>3.2119029294009862</v>
      </c>
      <c r="Y37">
        <v>3.423147731677247</v>
      </c>
    </row>
    <row r="38" spans="1:25" x14ac:dyDescent="0.3">
      <c r="A38" t="s">
        <v>27</v>
      </c>
      <c r="B38">
        <v>991</v>
      </c>
      <c r="C38">
        <v>270</v>
      </c>
      <c r="D38">
        <v>294</v>
      </c>
      <c r="E38">
        <v>564</v>
      </c>
      <c r="F38">
        <v>1.199872354004893</v>
      </c>
      <c r="G38">
        <v>3326.3925925925928</v>
      </c>
      <c r="H38">
        <v>2523.8027210884352</v>
      </c>
      <c r="I38">
        <v>802.5898715041576</v>
      </c>
      <c r="J38">
        <v>4784.1952776787311</v>
      </c>
      <c r="K38">
        <v>3706.1119837416632</v>
      </c>
      <c r="L38">
        <v>2.2133282026152079</v>
      </c>
      <c r="M38">
        <v>2.7320326921633109E-2</v>
      </c>
      <c r="N38" t="s">
        <v>44</v>
      </c>
      <c r="O38">
        <v>2038.5</v>
      </c>
      <c r="P38">
        <v>0</v>
      </c>
      <c r="Q38">
        <v>2038.5</v>
      </c>
      <c r="R38">
        <v>0.53333333333333333</v>
      </c>
      <c r="S38">
        <v>0.47959183673469391</v>
      </c>
      <c r="T38">
        <v>5.3741496598639471E-2</v>
      </c>
      <c r="U38">
        <v>898126</v>
      </c>
      <c r="V38">
        <v>741998</v>
      </c>
      <c r="W38">
        <v>156128</v>
      </c>
      <c r="X38">
        <v>1.438253346382643</v>
      </c>
      <c r="Y38">
        <v>1.4684634233785661</v>
      </c>
    </row>
    <row r="39" spans="1:25" x14ac:dyDescent="0.3">
      <c r="A39" t="s">
        <v>28</v>
      </c>
      <c r="B39">
        <v>453</v>
      </c>
      <c r="C39">
        <v>1066</v>
      </c>
      <c r="D39">
        <v>1049</v>
      </c>
      <c r="E39">
        <v>2115</v>
      </c>
      <c r="F39">
        <v>4.499521327518349</v>
      </c>
      <c r="G39">
        <v>2563.8142589118202</v>
      </c>
      <c r="H39">
        <v>1919.694947569114</v>
      </c>
      <c r="I39">
        <v>644.11931134270617</v>
      </c>
      <c r="J39">
        <v>3005.91424840333</v>
      </c>
      <c r="K39">
        <v>2664.6891291379038</v>
      </c>
      <c r="L39">
        <v>5.2167826394367749</v>
      </c>
      <c r="M39">
        <v>2.0003933595296729E-7</v>
      </c>
      <c r="N39" t="s">
        <v>44</v>
      </c>
      <c r="O39">
        <v>2031.5</v>
      </c>
      <c r="P39">
        <v>0</v>
      </c>
      <c r="Q39">
        <v>2031.5</v>
      </c>
      <c r="R39">
        <v>0.56941838649155718</v>
      </c>
      <c r="S39">
        <v>0.44137273593898951</v>
      </c>
      <c r="T39">
        <v>0.1280456505525677</v>
      </c>
      <c r="U39">
        <v>2733026</v>
      </c>
      <c r="V39">
        <v>2013760</v>
      </c>
      <c r="W39">
        <v>719266</v>
      </c>
      <c r="X39">
        <v>1.1724383847054329</v>
      </c>
      <c r="Y39">
        <v>1.388079461537453</v>
      </c>
    </row>
    <row r="40" spans="1:25" x14ac:dyDescent="0.3">
      <c r="A40" t="s">
        <v>28</v>
      </c>
      <c r="B40">
        <v>112</v>
      </c>
      <c r="C40">
        <v>652</v>
      </c>
      <c r="D40">
        <v>683</v>
      </c>
      <c r="E40">
        <v>1335</v>
      </c>
      <c r="F40">
        <v>2.840123391128603</v>
      </c>
      <c r="G40">
        <v>2551.9800613496932</v>
      </c>
      <c r="H40">
        <v>2228.797950219619</v>
      </c>
      <c r="I40">
        <v>323.18211113007368</v>
      </c>
      <c r="J40">
        <v>2801.9078919977542</v>
      </c>
      <c r="K40">
        <v>2785.9703733157062</v>
      </c>
      <c r="L40">
        <v>2.1124836789526</v>
      </c>
      <c r="M40">
        <v>3.4831037874657869E-2</v>
      </c>
      <c r="N40" t="s">
        <v>44</v>
      </c>
      <c r="O40">
        <v>2180</v>
      </c>
      <c r="P40">
        <v>913</v>
      </c>
      <c r="Q40">
        <v>1267</v>
      </c>
      <c r="R40">
        <v>0.58742331288343563</v>
      </c>
      <c r="S40">
        <v>0.51830161054172763</v>
      </c>
      <c r="T40">
        <v>6.9121702341708002E-2</v>
      </c>
      <c r="U40">
        <v>1663891</v>
      </c>
      <c r="V40">
        <v>1522269</v>
      </c>
      <c r="W40">
        <v>141622</v>
      </c>
      <c r="X40">
        <v>1.0979348680788199</v>
      </c>
      <c r="Y40">
        <v>1.2499878569258309</v>
      </c>
    </row>
    <row r="41" spans="1:25" x14ac:dyDescent="0.3">
      <c r="A41" t="s">
        <v>28</v>
      </c>
      <c r="B41">
        <v>801</v>
      </c>
      <c r="C41">
        <v>225</v>
      </c>
      <c r="D41">
        <v>212</v>
      </c>
      <c r="E41">
        <v>437</v>
      </c>
      <c r="F41">
        <v>0.92968833102861392</v>
      </c>
      <c r="G41">
        <v>2971.4088888888891</v>
      </c>
      <c r="H41">
        <v>2368.650943396226</v>
      </c>
      <c r="I41">
        <v>602.7579454926622</v>
      </c>
      <c r="J41">
        <v>2847.6490525881782</v>
      </c>
      <c r="K41">
        <v>2924.77105368003</v>
      </c>
      <c r="L41">
        <v>2.1808320017819018</v>
      </c>
      <c r="M41">
        <v>2.973485546803406E-2</v>
      </c>
      <c r="N41" t="s">
        <v>44</v>
      </c>
      <c r="O41">
        <v>2909</v>
      </c>
      <c r="P41">
        <v>1458</v>
      </c>
      <c r="Q41">
        <v>1451</v>
      </c>
      <c r="R41">
        <v>0.64888888888888885</v>
      </c>
      <c r="S41">
        <v>0.53773584905660377</v>
      </c>
      <c r="T41">
        <v>0.1111530398322851</v>
      </c>
      <c r="U41">
        <v>668567</v>
      </c>
      <c r="V41">
        <v>502154</v>
      </c>
      <c r="W41">
        <v>166413</v>
      </c>
      <c r="X41">
        <v>0.95834977920289233</v>
      </c>
      <c r="Y41">
        <v>1.234783479530515</v>
      </c>
    </row>
    <row r="42" spans="1:25" x14ac:dyDescent="0.3">
      <c r="A42" t="s">
        <v>28</v>
      </c>
      <c r="B42">
        <v>573</v>
      </c>
      <c r="C42">
        <v>177</v>
      </c>
      <c r="D42">
        <v>160</v>
      </c>
      <c r="E42">
        <v>337</v>
      </c>
      <c r="F42">
        <v>0.71694500585044152</v>
      </c>
      <c r="G42">
        <v>3066.2768361581921</v>
      </c>
      <c r="H42">
        <v>1662.9</v>
      </c>
      <c r="I42">
        <v>1403.376836158192</v>
      </c>
      <c r="J42">
        <v>3274.3261290016112</v>
      </c>
      <c r="K42">
        <v>2619.735841020914</v>
      </c>
      <c r="L42">
        <v>4.3629092007791819</v>
      </c>
      <c r="M42">
        <v>1.7181335519322039E-5</v>
      </c>
      <c r="N42" t="s">
        <v>44</v>
      </c>
      <c r="O42">
        <v>2716</v>
      </c>
      <c r="P42">
        <v>0</v>
      </c>
      <c r="Q42">
        <v>2716</v>
      </c>
      <c r="R42">
        <v>0.64971751412429379</v>
      </c>
      <c r="S42">
        <v>0.375</v>
      </c>
      <c r="T42">
        <v>0.27471751412429379</v>
      </c>
      <c r="U42">
        <v>542731</v>
      </c>
      <c r="V42">
        <v>266064</v>
      </c>
      <c r="W42">
        <v>276667</v>
      </c>
      <c r="X42">
        <v>1.0678507858097011</v>
      </c>
      <c r="Y42">
        <v>1.575401912935783</v>
      </c>
    </row>
    <row r="43" spans="1:25" x14ac:dyDescent="0.3">
      <c r="A43" t="s">
        <v>28</v>
      </c>
      <c r="B43">
        <v>900</v>
      </c>
      <c r="C43">
        <v>335</v>
      </c>
      <c r="D43">
        <v>341</v>
      </c>
      <c r="E43">
        <v>676</v>
      </c>
      <c r="F43">
        <v>1.4381448782044459</v>
      </c>
      <c r="G43">
        <v>2502.7820895522391</v>
      </c>
      <c r="H43">
        <v>1720.319648093842</v>
      </c>
      <c r="I43">
        <v>782.46244145839705</v>
      </c>
      <c r="J43">
        <v>2908.7148833689639</v>
      </c>
      <c r="K43">
        <v>2511.5741280053348</v>
      </c>
      <c r="L43">
        <v>3.7407091654270741</v>
      </c>
      <c r="M43">
        <v>1.9954754430146279E-4</v>
      </c>
      <c r="N43" t="s">
        <v>44</v>
      </c>
      <c r="O43">
        <v>1871</v>
      </c>
      <c r="P43">
        <v>0</v>
      </c>
      <c r="Q43">
        <v>1871</v>
      </c>
      <c r="R43">
        <v>0.55820895522388059</v>
      </c>
      <c r="S43">
        <v>0.41642228739002929</v>
      </c>
      <c r="T43">
        <v>0.14178666783385119</v>
      </c>
      <c r="U43">
        <v>838432</v>
      </c>
      <c r="V43">
        <v>586629</v>
      </c>
      <c r="W43">
        <v>251803</v>
      </c>
      <c r="X43">
        <v>1.162192623765079</v>
      </c>
      <c r="Y43">
        <v>1.4599461970850729</v>
      </c>
    </row>
    <row r="44" spans="1:25" x14ac:dyDescent="0.3">
      <c r="A44" t="s">
        <v>28</v>
      </c>
      <c r="B44">
        <v>117</v>
      </c>
      <c r="C44">
        <v>625</v>
      </c>
      <c r="D44">
        <v>587</v>
      </c>
      <c r="E44">
        <v>1212</v>
      </c>
      <c r="F44">
        <v>2.578449101159451</v>
      </c>
      <c r="G44">
        <v>2632.2656000000002</v>
      </c>
      <c r="H44">
        <v>2092.0715502555372</v>
      </c>
      <c r="I44">
        <v>540.19404974446343</v>
      </c>
      <c r="J44">
        <v>2840.6587421934341</v>
      </c>
      <c r="K44">
        <v>2618.969388977428</v>
      </c>
      <c r="L44">
        <v>3.4444464533914032</v>
      </c>
      <c r="M44">
        <v>5.9182102360940628E-4</v>
      </c>
      <c r="N44" t="s">
        <v>44</v>
      </c>
      <c r="O44">
        <v>2294</v>
      </c>
      <c r="P44">
        <v>0</v>
      </c>
      <c r="Q44">
        <v>2294</v>
      </c>
      <c r="R44">
        <v>0.6048</v>
      </c>
      <c r="S44">
        <v>0.49574105621805792</v>
      </c>
      <c r="T44">
        <v>0.1090589437819421</v>
      </c>
      <c r="U44">
        <v>1645166</v>
      </c>
      <c r="V44">
        <v>1228046</v>
      </c>
      <c r="W44">
        <v>417120</v>
      </c>
      <c r="X44">
        <v>1.0791687366933771</v>
      </c>
      <c r="Y44">
        <v>1.2518545977347351</v>
      </c>
    </row>
    <row r="45" spans="1:25" x14ac:dyDescent="0.3">
      <c r="A45" t="s">
        <v>28</v>
      </c>
      <c r="B45">
        <v>213</v>
      </c>
      <c r="C45">
        <v>232</v>
      </c>
      <c r="D45">
        <v>255</v>
      </c>
      <c r="E45">
        <v>487</v>
      </c>
      <c r="F45">
        <v>1.0360599936177</v>
      </c>
      <c r="G45">
        <v>3037.4568965517242</v>
      </c>
      <c r="H45">
        <v>2332.0431372549019</v>
      </c>
      <c r="I45">
        <v>705.41375929682226</v>
      </c>
      <c r="J45">
        <v>2914.4652250314448</v>
      </c>
      <c r="K45">
        <v>2713.2913712060058</v>
      </c>
      <c r="L45">
        <v>2.7566389706136891</v>
      </c>
      <c r="M45">
        <v>6.0660793588040232E-3</v>
      </c>
      <c r="N45" t="s">
        <v>44</v>
      </c>
      <c r="O45">
        <v>3019.5</v>
      </c>
      <c r="P45">
        <v>1861</v>
      </c>
      <c r="Q45">
        <v>1158.5</v>
      </c>
      <c r="R45">
        <v>0.67241379310344829</v>
      </c>
      <c r="S45">
        <v>0.56862745098039214</v>
      </c>
      <c r="T45">
        <v>0.10378634212305619</v>
      </c>
      <c r="U45">
        <v>704690</v>
      </c>
      <c r="V45">
        <v>594671</v>
      </c>
      <c r="W45">
        <v>110019</v>
      </c>
      <c r="X45">
        <v>0.9595083401315404</v>
      </c>
      <c r="Y45">
        <v>1.163482496468689</v>
      </c>
    </row>
    <row r="46" spans="1:25" x14ac:dyDescent="0.3">
      <c r="A46" t="s">
        <v>28</v>
      </c>
      <c r="B46">
        <v>891</v>
      </c>
      <c r="C46">
        <v>159</v>
      </c>
      <c r="D46">
        <v>167</v>
      </c>
      <c r="E46">
        <v>326</v>
      </c>
      <c r="F46">
        <v>0.69354324008084245</v>
      </c>
      <c r="G46">
        <v>2706.2452830188681</v>
      </c>
      <c r="H46">
        <v>2001.4371257485029</v>
      </c>
      <c r="I46">
        <v>704.8081572703652</v>
      </c>
      <c r="J46">
        <v>2893.8887719236168</v>
      </c>
      <c r="K46">
        <v>2487.421114677994</v>
      </c>
      <c r="L46">
        <v>2.3530252711758628</v>
      </c>
      <c r="M46">
        <v>1.9242523053546939E-2</v>
      </c>
      <c r="N46" t="s">
        <v>44</v>
      </c>
      <c r="O46">
        <v>2340</v>
      </c>
      <c r="P46">
        <v>508</v>
      </c>
      <c r="Q46">
        <v>1832</v>
      </c>
      <c r="R46">
        <v>0.63522012578616349</v>
      </c>
      <c r="S46">
        <v>0.50299401197604787</v>
      </c>
      <c r="T46">
        <v>0.13222611381011559</v>
      </c>
      <c r="U46">
        <v>430293</v>
      </c>
      <c r="V46">
        <v>334240</v>
      </c>
      <c r="W46">
        <v>96053</v>
      </c>
      <c r="X46">
        <v>1.06933720682385</v>
      </c>
      <c r="Y46">
        <v>1.2428175148133831</v>
      </c>
    </row>
    <row r="47" spans="1:25" x14ac:dyDescent="0.3">
      <c r="A47" t="s">
        <v>29</v>
      </c>
      <c r="B47">
        <v>2652</v>
      </c>
      <c r="C47">
        <v>2273</v>
      </c>
      <c r="D47">
        <v>2370</v>
      </c>
      <c r="E47">
        <v>4643</v>
      </c>
      <c r="F47">
        <v>9.877672588022552</v>
      </c>
      <c r="G47">
        <v>2550.108227012759</v>
      </c>
      <c r="H47">
        <v>2006.522784810126</v>
      </c>
      <c r="I47">
        <v>543.58544220263207</v>
      </c>
      <c r="J47">
        <v>2878.2709766223188</v>
      </c>
      <c r="K47">
        <v>2579.1609827530228</v>
      </c>
      <c r="L47">
        <v>6.767643876321995</v>
      </c>
      <c r="M47">
        <v>1.4755183224326161E-11</v>
      </c>
      <c r="N47" t="s">
        <v>44</v>
      </c>
      <c r="O47">
        <v>2357</v>
      </c>
      <c r="P47">
        <v>0</v>
      </c>
      <c r="Q47">
        <v>2357</v>
      </c>
      <c r="R47">
        <v>0.60272767267927851</v>
      </c>
      <c r="S47">
        <v>0.49409282700421941</v>
      </c>
      <c r="T47">
        <v>0.1086348456750591</v>
      </c>
      <c r="U47">
        <v>5796396</v>
      </c>
      <c r="V47">
        <v>4755459</v>
      </c>
      <c r="W47">
        <v>1040937</v>
      </c>
      <c r="X47">
        <v>1.128685812677831</v>
      </c>
      <c r="Y47">
        <v>1.2853883356211599</v>
      </c>
    </row>
    <row r="48" spans="1:25" x14ac:dyDescent="0.3">
      <c r="A48" t="s">
        <v>29</v>
      </c>
      <c r="B48">
        <v>1287</v>
      </c>
      <c r="C48">
        <v>370</v>
      </c>
      <c r="D48">
        <v>357</v>
      </c>
      <c r="E48">
        <v>727</v>
      </c>
      <c r="F48">
        <v>1.546643974045314</v>
      </c>
      <c r="G48">
        <v>2152.8675675675681</v>
      </c>
      <c r="H48">
        <v>1404.3753501400561</v>
      </c>
      <c r="I48">
        <v>748.4922174275116</v>
      </c>
      <c r="J48">
        <v>2458.5097875274032</v>
      </c>
      <c r="K48">
        <v>2339.8597298440141</v>
      </c>
      <c r="L48">
        <v>4.2058194627822552</v>
      </c>
      <c r="M48">
        <v>2.92721886399926E-5</v>
      </c>
      <c r="N48" t="s">
        <v>44</v>
      </c>
      <c r="O48">
        <v>1596.5</v>
      </c>
      <c r="P48">
        <v>0</v>
      </c>
      <c r="Q48">
        <v>1596.5</v>
      </c>
      <c r="R48">
        <v>0.55405405405405406</v>
      </c>
      <c r="S48">
        <v>0.36414565826330531</v>
      </c>
      <c r="T48">
        <v>0.18990839579074881</v>
      </c>
      <c r="U48">
        <v>796561</v>
      </c>
      <c r="V48">
        <v>501362</v>
      </c>
      <c r="W48">
        <v>295199</v>
      </c>
      <c r="X48">
        <v>1.1419698194929691</v>
      </c>
      <c r="Y48">
        <v>1.666121332598627</v>
      </c>
    </row>
    <row r="49" spans="1:25" x14ac:dyDescent="0.3">
      <c r="A49" t="s">
        <v>29</v>
      </c>
      <c r="B49">
        <v>1654</v>
      </c>
      <c r="C49">
        <v>799</v>
      </c>
      <c r="D49">
        <v>775</v>
      </c>
      <c r="E49">
        <v>1574</v>
      </c>
      <c r="F49">
        <v>3.3485799383044359</v>
      </c>
      <c r="G49">
        <v>3180.775969962453</v>
      </c>
      <c r="H49">
        <v>2552.6606451612902</v>
      </c>
      <c r="I49">
        <v>628.11532480116284</v>
      </c>
      <c r="J49">
        <v>3206.0944242592759</v>
      </c>
      <c r="K49">
        <v>2942.869593022604</v>
      </c>
      <c r="L49">
        <v>4.051117954676541</v>
      </c>
      <c r="M49">
        <v>5.3467522547187068E-5</v>
      </c>
      <c r="N49" t="s">
        <v>44</v>
      </c>
      <c r="O49">
        <v>3540</v>
      </c>
      <c r="P49">
        <v>2304</v>
      </c>
      <c r="Q49">
        <v>1236</v>
      </c>
      <c r="R49">
        <v>0.63204005006257824</v>
      </c>
      <c r="S49">
        <v>0.60903225806451611</v>
      </c>
      <c r="T49">
        <v>2.3007791998062129E-2</v>
      </c>
      <c r="U49">
        <v>2541440</v>
      </c>
      <c r="V49">
        <v>1978312</v>
      </c>
      <c r="W49">
        <v>563128</v>
      </c>
      <c r="X49">
        <v>1.0079598357557771</v>
      </c>
      <c r="Y49">
        <v>1.152863620395832</v>
      </c>
    </row>
    <row r="50" spans="1:25" x14ac:dyDescent="0.3">
      <c r="A50" t="s">
        <v>29</v>
      </c>
      <c r="B50">
        <v>1002</v>
      </c>
      <c r="C50">
        <v>138</v>
      </c>
      <c r="D50">
        <v>188</v>
      </c>
      <c r="E50">
        <v>326</v>
      </c>
      <c r="F50">
        <v>0.69354324008084245</v>
      </c>
      <c r="G50">
        <v>4144.855072463768</v>
      </c>
      <c r="H50">
        <v>1881.702127659574</v>
      </c>
      <c r="I50">
        <v>2263.1529448041938</v>
      </c>
      <c r="J50">
        <v>4069.769784107084</v>
      </c>
      <c r="K50">
        <v>2434.5819671245131</v>
      </c>
      <c r="L50">
        <v>5.8134856680672149</v>
      </c>
      <c r="M50">
        <v>2.278920708458246E-8</v>
      </c>
      <c r="N50" t="s">
        <v>44</v>
      </c>
      <c r="O50">
        <v>4145.5</v>
      </c>
      <c r="P50">
        <v>0</v>
      </c>
      <c r="Q50">
        <v>4145.5</v>
      </c>
      <c r="R50">
        <v>0.68840579710144922</v>
      </c>
      <c r="S50">
        <v>0.45744680851063829</v>
      </c>
      <c r="T50">
        <v>0.2309589885908109</v>
      </c>
      <c r="U50">
        <v>571990</v>
      </c>
      <c r="V50">
        <v>353760</v>
      </c>
      <c r="W50">
        <v>218230</v>
      </c>
      <c r="X50">
        <v>0.98188470114298798</v>
      </c>
      <c r="Y50">
        <v>1.2938190010725019</v>
      </c>
    </row>
    <row r="51" spans="1:25" x14ac:dyDescent="0.3">
      <c r="A51" t="s">
        <v>36</v>
      </c>
      <c r="B51">
        <v>11</v>
      </c>
      <c r="C51">
        <v>509</v>
      </c>
      <c r="D51">
        <v>608</v>
      </c>
      <c r="E51">
        <v>1117</v>
      </c>
      <c r="F51">
        <v>2.3763429422401869</v>
      </c>
      <c r="G51">
        <v>2615.3929273084482</v>
      </c>
      <c r="H51">
        <v>2137.146381578948</v>
      </c>
      <c r="I51">
        <v>478.24654572950021</v>
      </c>
      <c r="J51">
        <v>3028.5370469117302</v>
      </c>
      <c r="K51">
        <v>2670.8100024424512</v>
      </c>
      <c r="L51">
        <v>2.7726418442494278</v>
      </c>
      <c r="M51">
        <v>5.6614046276662524E-3</v>
      </c>
      <c r="N51" t="s">
        <v>44</v>
      </c>
      <c r="O51">
        <v>2035</v>
      </c>
      <c r="P51">
        <v>610</v>
      </c>
      <c r="Q51">
        <v>1425</v>
      </c>
      <c r="R51">
        <v>0.56188605108055012</v>
      </c>
      <c r="S51">
        <v>0.50328947368421051</v>
      </c>
      <c r="T51">
        <v>5.8596577396339611E-2</v>
      </c>
      <c r="U51">
        <v>1331235</v>
      </c>
      <c r="V51">
        <v>1299385</v>
      </c>
      <c r="W51">
        <v>31850</v>
      </c>
      <c r="X51">
        <v>1.1579663672289791</v>
      </c>
      <c r="Y51">
        <v>1.249708501702737</v>
      </c>
    </row>
    <row r="52" spans="1:25" x14ac:dyDescent="0.3">
      <c r="A52" t="s">
        <v>37</v>
      </c>
      <c r="B52">
        <v>33</v>
      </c>
      <c r="C52">
        <v>232</v>
      </c>
      <c r="D52">
        <v>258</v>
      </c>
      <c r="E52">
        <v>490</v>
      </c>
      <c r="F52">
        <v>1.0424422933730459</v>
      </c>
      <c r="G52">
        <v>4747.7887931034484</v>
      </c>
      <c r="H52">
        <v>2351.7364341085272</v>
      </c>
      <c r="I52">
        <v>2396.0523589949212</v>
      </c>
      <c r="J52">
        <v>2885.8736420956238</v>
      </c>
      <c r="K52">
        <v>2385.9568898991611</v>
      </c>
      <c r="L52">
        <v>9.9522597271958197</v>
      </c>
      <c r="M52">
        <v>3.1991974844035339E-21</v>
      </c>
      <c r="N52" t="s">
        <v>44</v>
      </c>
      <c r="O52">
        <v>3789.5</v>
      </c>
      <c r="P52">
        <v>2229</v>
      </c>
      <c r="Q52">
        <v>1560.5</v>
      </c>
      <c r="R52">
        <v>0.97413793103448276</v>
      </c>
      <c r="S52">
        <v>0.60852713178294571</v>
      </c>
      <c r="T52">
        <v>0.36561079925153711</v>
      </c>
      <c r="U52">
        <v>1101487</v>
      </c>
      <c r="V52">
        <v>606748</v>
      </c>
      <c r="W52">
        <v>494739</v>
      </c>
      <c r="X52">
        <v>0.60783530351804849</v>
      </c>
      <c r="Y52">
        <v>1.0145511441224091</v>
      </c>
    </row>
    <row r="53" spans="1:25" x14ac:dyDescent="0.3">
      <c r="A53" t="s">
        <v>37</v>
      </c>
      <c r="B53">
        <v>34</v>
      </c>
      <c r="C53">
        <v>225</v>
      </c>
      <c r="D53">
        <v>253</v>
      </c>
      <c r="E53">
        <v>478</v>
      </c>
      <c r="F53">
        <v>1.0169130943516651</v>
      </c>
      <c r="G53">
        <v>3197.04</v>
      </c>
      <c r="H53">
        <v>1848.616600790514</v>
      </c>
      <c r="I53">
        <v>1348.423399209486</v>
      </c>
      <c r="J53">
        <v>2931.9907673797352</v>
      </c>
      <c r="K53">
        <v>2558.073727956224</v>
      </c>
      <c r="L53">
        <v>5.3271338352439166</v>
      </c>
      <c r="M53">
        <v>1.583597654408105E-7</v>
      </c>
      <c r="N53" t="s">
        <v>44</v>
      </c>
      <c r="O53">
        <v>3046</v>
      </c>
      <c r="P53">
        <v>0</v>
      </c>
      <c r="Q53">
        <v>3046</v>
      </c>
      <c r="R53">
        <v>0.7155555555555555</v>
      </c>
      <c r="S53">
        <v>0.43873517786561272</v>
      </c>
      <c r="T53">
        <v>0.27682037768994278</v>
      </c>
      <c r="U53">
        <v>719334</v>
      </c>
      <c r="V53">
        <v>467700</v>
      </c>
      <c r="W53">
        <v>251634</v>
      </c>
      <c r="X53">
        <v>0.91709542807713851</v>
      </c>
      <c r="Y53">
        <v>1.383777321301956</v>
      </c>
    </row>
    <row r="54" spans="1:25" x14ac:dyDescent="0.3">
      <c r="A54" t="s">
        <v>37</v>
      </c>
      <c r="B54">
        <v>35</v>
      </c>
      <c r="C54">
        <v>214</v>
      </c>
      <c r="D54">
        <v>194</v>
      </c>
      <c r="E54">
        <v>408</v>
      </c>
      <c r="F54">
        <v>0.86799276672694403</v>
      </c>
      <c r="G54">
        <v>2778.439252336449</v>
      </c>
      <c r="H54">
        <v>1526.7216494845361</v>
      </c>
      <c r="I54">
        <v>1251.717602851912</v>
      </c>
      <c r="J54">
        <v>2995.1670231044532</v>
      </c>
      <c r="K54">
        <v>2186.5949289384721</v>
      </c>
      <c r="L54">
        <v>4.8515447386781716</v>
      </c>
      <c r="M54">
        <v>1.776038569475557E-6</v>
      </c>
      <c r="N54" t="s">
        <v>44</v>
      </c>
      <c r="O54">
        <v>2522.5</v>
      </c>
      <c r="P54">
        <v>0</v>
      </c>
      <c r="Q54">
        <v>2522.5</v>
      </c>
      <c r="R54">
        <v>0.64953271028037385</v>
      </c>
      <c r="S54">
        <v>0.40721649484536082</v>
      </c>
      <c r="T54">
        <v>0.242316215435013</v>
      </c>
      <c r="U54">
        <v>594586</v>
      </c>
      <c r="V54">
        <v>296184</v>
      </c>
      <c r="W54">
        <v>298402</v>
      </c>
      <c r="X54">
        <v>1.0780034224558821</v>
      </c>
      <c r="Y54">
        <v>1.432215839525645</v>
      </c>
    </row>
    <row r="55" spans="1:25" x14ac:dyDescent="0.3">
      <c r="A55" t="s">
        <v>37</v>
      </c>
      <c r="B55">
        <v>36</v>
      </c>
      <c r="C55">
        <v>131</v>
      </c>
      <c r="D55">
        <v>141</v>
      </c>
      <c r="E55">
        <v>272</v>
      </c>
      <c r="F55">
        <v>0.57866184448462932</v>
      </c>
      <c r="G55">
        <v>2013.8167938931299</v>
      </c>
      <c r="H55">
        <v>860.41843971631204</v>
      </c>
      <c r="I55">
        <v>1153.398354176818</v>
      </c>
      <c r="J55">
        <v>2798.5300284298341</v>
      </c>
      <c r="K55">
        <v>1840.8266394516061</v>
      </c>
      <c r="L55">
        <v>3.9839341236853358</v>
      </c>
      <c r="M55">
        <v>9.1901046432808566E-5</v>
      </c>
      <c r="N55" t="s">
        <v>44</v>
      </c>
      <c r="O55">
        <v>0</v>
      </c>
      <c r="P55">
        <v>0</v>
      </c>
      <c r="Q55">
        <v>0</v>
      </c>
      <c r="R55">
        <v>0.4580152671755725</v>
      </c>
      <c r="S55">
        <v>0.23404255319148939</v>
      </c>
      <c r="T55">
        <v>0.22397271398408311</v>
      </c>
      <c r="U55">
        <v>263810</v>
      </c>
      <c r="V55">
        <v>121319</v>
      </c>
      <c r="W55">
        <v>142491</v>
      </c>
      <c r="X55">
        <v>1.3896646591270549</v>
      </c>
      <c r="Y55">
        <v>2.1394551237866821</v>
      </c>
    </row>
  </sheetData>
  <autoFilter ref="A1:Y55" xr:uid="{00000000-0001-0000-0000-000000000000}">
    <sortState xmlns:xlrd2="http://schemas.microsoft.com/office/spreadsheetml/2017/richdata2" ref="A2:Y55">
      <sortCondition ref="N1:N5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A618-C7A3-40CE-AC0A-71EE16383578}">
  <dimension ref="A1:B8"/>
  <sheetViews>
    <sheetView tabSelected="1" workbookViewId="0">
      <selection activeCell="C18" sqref="C18"/>
    </sheetView>
  </sheetViews>
  <sheetFormatPr defaultRowHeight="14.4" x14ac:dyDescent="0.3"/>
  <cols>
    <col min="1" max="1" width="29.6640625" bestFit="1" customWidth="1"/>
    <col min="2" max="2" width="12.77734375" customWidth="1"/>
  </cols>
  <sheetData>
    <row r="1" spans="1:2" x14ac:dyDescent="0.3">
      <c r="A1" s="2" t="s">
        <v>46</v>
      </c>
    </row>
    <row r="2" spans="1:2" x14ac:dyDescent="0.3">
      <c r="A2" s="3" t="s">
        <v>47</v>
      </c>
      <c r="B2" s="24">
        <v>1000</v>
      </c>
    </row>
    <row r="3" spans="1:2" x14ac:dyDescent="0.3">
      <c r="A3" s="3" t="s">
        <v>48</v>
      </c>
      <c r="B3" s="24">
        <v>1000</v>
      </c>
    </row>
    <row r="4" spans="1:2" x14ac:dyDescent="0.3">
      <c r="A4" s="2" t="s">
        <v>49</v>
      </c>
      <c r="B4" s="4"/>
    </row>
    <row r="5" spans="1:2" x14ac:dyDescent="0.3">
      <c r="A5" s="3" t="s">
        <v>52</v>
      </c>
      <c r="B5" s="25">
        <f>SUM('Положительные исходы'!B25:B42)</f>
        <v>270427.16992182255</v>
      </c>
    </row>
    <row r="6" spans="1:2" x14ac:dyDescent="0.3">
      <c r="A6" s="3" t="s">
        <v>53</v>
      </c>
      <c r="B6" s="25">
        <f>SUM('Отрицательные исходы'!B9:B10)</f>
        <v>-15678.15244667849</v>
      </c>
    </row>
    <row r="7" spans="1:2" x14ac:dyDescent="0.3">
      <c r="A7" s="3" t="s">
        <v>50</v>
      </c>
      <c r="B7" s="25">
        <f>B6+B5</f>
        <v>254749.01747514406</v>
      </c>
    </row>
    <row r="8" spans="1:2" x14ac:dyDescent="0.3">
      <c r="A8" s="3" t="s">
        <v>51</v>
      </c>
      <c r="B8" s="26">
        <f>SUM('Нейтральные исходы'!B41:B74)</f>
        <v>4142.8211422450058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A5FF-D5FC-4286-ADB8-AC503BC93348}">
  <dimension ref="A1:Y42"/>
  <sheetViews>
    <sheetView topLeftCell="A21" workbookViewId="0">
      <selection activeCell="E28" sqref="E28"/>
    </sheetView>
  </sheetViews>
  <sheetFormatPr defaultRowHeight="14.4" x14ac:dyDescent="0.3"/>
  <cols>
    <col min="1" max="1" width="16.33203125" customWidth="1"/>
    <col min="2" max="2" width="18.33203125" bestFit="1" customWidth="1"/>
    <col min="3" max="3" width="10" bestFit="1" customWidth="1"/>
    <col min="4" max="4" width="12.88671875" bestFit="1" customWidth="1"/>
    <col min="5" max="5" width="8.77734375" bestFit="1" customWidth="1"/>
    <col min="6" max="6" width="13.44140625" bestFit="1" customWidth="1"/>
    <col min="7" max="7" width="16.77734375" bestFit="1" customWidth="1"/>
    <col min="8" max="8" width="19.77734375" bestFit="1" customWidth="1"/>
    <col min="9" max="10" width="12" bestFit="1" customWidth="1"/>
    <col min="11" max="11" width="12.88671875" bestFit="1" customWidth="1"/>
    <col min="12" max="13" width="12" bestFit="1" customWidth="1"/>
    <col min="14" max="14" width="7.33203125" bestFit="1" customWidth="1"/>
    <col min="15" max="15" width="20.21875" bestFit="1" customWidth="1"/>
    <col min="16" max="16" width="23.21875" bestFit="1" customWidth="1"/>
    <col min="17" max="17" width="11.21875" bestFit="1" customWidth="1"/>
    <col min="18" max="18" width="14.44140625" bestFit="1" customWidth="1"/>
    <col min="19" max="19" width="17.44140625" bestFit="1" customWidth="1"/>
    <col min="20" max="20" width="14.21875" bestFit="1" customWidth="1"/>
    <col min="21" max="21" width="17.77734375" bestFit="1" customWidth="1"/>
    <col min="22" max="22" width="20.6640625" bestFit="1" customWidth="1"/>
    <col min="23" max="23" width="8.77734375" bestFit="1" customWidth="1"/>
    <col min="24" max="25" width="12" bestFit="1" customWidth="1"/>
  </cols>
  <sheetData>
    <row r="1" spans="1:25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2" t="s">
        <v>6</v>
      </c>
      <c r="H1" s="22" t="s">
        <v>7</v>
      </c>
      <c r="I1" s="23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</row>
    <row r="2" spans="1:25" x14ac:dyDescent="0.3">
      <c r="A2" t="s">
        <v>27</v>
      </c>
      <c r="B2">
        <v>991</v>
      </c>
      <c r="C2">
        <v>270</v>
      </c>
      <c r="D2">
        <v>294</v>
      </c>
      <c r="E2">
        <v>564</v>
      </c>
      <c r="F2">
        <v>1.199872354004893</v>
      </c>
      <c r="G2">
        <v>3326.3925925925928</v>
      </c>
      <c r="H2">
        <v>2523.8027210884352</v>
      </c>
      <c r="I2">
        <v>802.5898715041576</v>
      </c>
      <c r="J2">
        <v>4784.1952776787311</v>
      </c>
      <c r="K2">
        <v>3706.1119837416632</v>
      </c>
      <c r="L2">
        <v>2.2133282026152079</v>
      </c>
      <c r="M2">
        <v>2.7320326921633109E-2</v>
      </c>
      <c r="N2" t="s">
        <v>44</v>
      </c>
      <c r="O2">
        <v>2038.5</v>
      </c>
      <c r="P2">
        <v>0</v>
      </c>
      <c r="Q2">
        <v>2038.5</v>
      </c>
      <c r="R2">
        <v>0.53333333333333333</v>
      </c>
      <c r="S2">
        <v>0.47959183673469391</v>
      </c>
      <c r="T2">
        <v>5.3741496598639471E-2</v>
      </c>
      <c r="U2">
        <v>898126</v>
      </c>
      <c r="V2">
        <v>741998</v>
      </c>
      <c r="W2">
        <v>156128</v>
      </c>
      <c r="X2">
        <v>1.438253346382643</v>
      </c>
      <c r="Y2">
        <v>1.4684634233785661</v>
      </c>
    </row>
    <row r="3" spans="1:25" x14ac:dyDescent="0.3">
      <c r="A3" t="s">
        <v>28</v>
      </c>
      <c r="B3">
        <v>453</v>
      </c>
      <c r="C3">
        <v>1066</v>
      </c>
      <c r="D3">
        <v>1049</v>
      </c>
      <c r="E3">
        <v>2115</v>
      </c>
      <c r="F3">
        <v>4.499521327518349</v>
      </c>
      <c r="G3">
        <v>2563.8142589118202</v>
      </c>
      <c r="H3">
        <v>1919.694947569114</v>
      </c>
      <c r="I3">
        <v>644.11931134270617</v>
      </c>
      <c r="J3">
        <v>3005.91424840333</v>
      </c>
      <c r="K3">
        <v>2664.6891291379038</v>
      </c>
      <c r="L3">
        <v>5.2167826394367749</v>
      </c>
      <c r="M3">
        <v>2.0003933595296729E-7</v>
      </c>
      <c r="N3" t="s">
        <v>44</v>
      </c>
      <c r="O3">
        <v>2031.5</v>
      </c>
      <c r="P3">
        <v>0</v>
      </c>
      <c r="Q3">
        <v>2031.5</v>
      </c>
      <c r="R3">
        <v>0.56941838649155718</v>
      </c>
      <c r="S3">
        <v>0.44137273593898951</v>
      </c>
      <c r="T3">
        <v>0.1280456505525677</v>
      </c>
      <c r="U3">
        <v>2733026</v>
      </c>
      <c r="V3">
        <v>2013760</v>
      </c>
      <c r="W3">
        <v>719266</v>
      </c>
      <c r="X3">
        <v>1.1724383847054329</v>
      </c>
      <c r="Y3">
        <v>1.388079461537453</v>
      </c>
    </row>
    <row r="4" spans="1:25" x14ac:dyDescent="0.3">
      <c r="A4" t="s">
        <v>28</v>
      </c>
      <c r="B4">
        <v>112</v>
      </c>
      <c r="C4">
        <v>652</v>
      </c>
      <c r="D4">
        <v>683</v>
      </c>
      <c r="E4">
        <v>1335</v>
      </c>
      <c r="F4">
        <v>2.840123391128603</v>
      </c>
      <c r="G4">
        <v>2551.9800613496932</v>
      </c>
      <c r="H4">
        <v>2228.797950219619</v>
      </c>
      <c r="I4">
        <v>323.18211113007368</v>
      </c>
      <c r="J4">
        <v>2801.9078919977542</v>
      </c>
      <c r="K4">
        <v>2785.9703733157062</v>
      </c>
      <c r="L4">
        <v>2.1124836789526</v>
      </c>
      <c r="M4">
        <v>3.4831037874657869E-2</v>
      </c>
      <c r="N4" t="s">
        <v>44</v>
      </c>
      <c r="O4">
        <v>2180</v>
      </c>
      <c r="P4">
        <v>913</v>
      </c>
      <c r="Q4">
        <v>1267</v>
      </c>
      <c r="R4">
        <v>0.58742331288343563</v>
      </c>
      <c r="S4">
        <v>0.51830161054172763</v>
      </c>
      <c r="T4">
        <v>6.9121702341708002E-2</v>
      </c>
      <c r="U4">
        <v>1663891</v>
      </c>
      <c r="V4">
        <v>1522269</v>
      </c>
      <c r="W4">
        <v>141622</v>
      </c>
      <c r="X4">
        <v>1.0979348680788199</v>
      </c>
      <c r="Y4">
        <v>1.2499878569258309</v>
      </c>
    </row>
    <row r="5" spans="1:25" x14ac:dyDescent="0.3">
      <c r="A5" t="s">
        <v>28</v>
      </c>
      <c r="B5">
        <v>801</v>
      </c>
      <c r="C5">
        <v>225</v>
      </c>
      <c r="D5">
        <v>212</v>
      </c>
      <c r="E5">
        <v>437</v>
      </c>
      <c r="F5">
        <v>0.92968833102861392</v>
      </c>
      <c r="G5">
        <v>2971.4088888888891</v>
      </c>
      <c r="H5">
        <v>2368.650943396226</v>
      </c>
      <c r="I5">
        <v>602.7579454926622</v>
      </c>
      <c r="J5">
        <v>2847.6490525881782</v>
      </c>
      <c r="K5">
        <v>2924.77105368003</v>
      </c>
      <c r="L5">
        <v>2.1808320017819018</v>
      </c>
      <c r="M5">
        <v>2.973485546803406E-2</v>
      </c>
      <c r="N5" t="s">
        <v>44</v>
      </c>
      <c r="O5">
        <v>2909</v>
      </c>
      <c r="P5">
        <v>1458</v>
      </c>
      <c r="Q5">
        <v>1451</v>
      </c>
      <c r="R5">
        <v>0.64888888888888885</v>
      </c>
      <c r="S5">
        <v>0.53773584905660377</v>
      </c>
      <c r="T5">
        <v>0.1111530398322851</v>
      </c>
      <c r="U5">
        <v>668567</v>
      </c>
      <c r="V5">
        <v>502154</v>
      </c>
      <c r="W5">
        <v>166413</v>
      </c>
      <c r="X5">
        <v>0.95834977920289233</v>
      </c>
      <c r="Y5">
        <v>1.234783479530515</v>
      </c>
    </row>
    <row r="6" spans="1:25" x14ac:dyDescent="0.3">
      <c r="A6" t="s">
        <v>28</v>
      </c>
      <c r="B6">
        <v>573</v>
      </c>
      <c r="C6">
        <v>177</v>
      </c>
      <c r="D6">
        <v>160</v>
      </c>
      <c r="E6">
        <v>337</v>
      </c>
      <c r="F6">
        <v>0.71694500585044152</v>
      </c>
      <c r="G6">
        <v>3066.2768361581921</v>
      </c>
      <c r="H6">
        <v>1662.9</v>
      </c>
      <c r="I6">
        <v>1403.376836158192</v>
      </c>
      <c r="J6">
        <v>3274.3261290016112</v>
      </c>
      <c r="K6">
        <v>2619.735841020914</v>
      </c>
      <c r="L6">
        <v>4.3629092007791819</v>
      </c>
      <c r="M6">
        <v>1.7181335519322039E-5</v>
      </c>
      <c r="N6" t="s">
        <v>44</v>
      </c>
      <c r="O6">
        <v>2716</v>
      </c>
      <c r="P6">
        <v>0</v>
      </c>
      <c r="Q6">
        <v>2716</v>
      </c>
      <c r="R6">
        <v>0.64971751412429379</v>
      </c>
      <c r="S6">
        <v>0.375</v>
      </c>
      <c r="T6">
        <v>0.27471751412429379</v>
      </c>
      <c r="U6">
        <v>542731</v>
      </c>
      <c r="V6">
        <v>266064</v>
      </c>
      <c r="W6">
        <v>276667</v>
      </c>
      <c r="X6">
        <v>1.0678507858097011</v>
      </c>
      <c r="Y6">
        <v>1.575401912935783</v>
      </c>
    </row>
    <row r="7" spans="1:25" x14ac:dyDescent="0.3">
      <c r="A7" t="s">
        <v>28</v>
      </c>
      <c r="B7">
        <v>900</v>
      </c>
      <c r="C7">
        <v>335</v>
      </c>
      <c r="D7">
        <v>341</v>
      </c>
      <c r="E7">
        <v>676</v>
      </c>
      <c r="F7">
        <v>1.4381448782044459</v>
      </c>
      <c r="G7">
        <v>2502.7820895522391</v>
      </c>
      <c r="H7">
        <v>1720.319648093842</v>
      </c>
      <c r="I7">
        <v>782.46244145839705</v>
      </c>
      <c r="J7">
        <v>2908.7148833689639</v>
      </c>
      <c r="K7">
        <v>2511.5741280053348</v>
      </c>
      <c r="L7">
        <v>3.7407091654270741</v>
      </c>
      <c r="M7">
        <v>1.9954754430146279E-4</v>
      </c>
      <c r="N7" t="s">
        <v>44</v>
      </c>
      <c r="O7">
        <v>1871</v>
      </c>
      <c r="P7">
        <v>0</v>
      </c>
      <c r="Q7">
        <v>1871</v>
      </c>
      <c r="R7">
        <v>0.55820895522388059</v>
      </c>
      <c r="S7">
        <v>0.41642228739002929</v>
      </c>
      <c r="T7">
        <v>0.14178666783385119</v>
      </c>
      <c r="U7">
        <v>838432</v>
      </c>
      <c r="V7">
        <v>586629</v>
      </c>
      <c r="W7">
        <v>251803</v>
      </c>
      <c r="X7">
        <v>1.162192623765079</v>
      </c>
      <c r="Y7">
        <v>1.4599461970850729</v>
      </c>
    </row>
    <row r="8" spans="1:25" x14ac:dyDescent="0.3">
      <c r="A8" t="s">
        <v>28</v>
      </c>
      <c r="B8">
        <v>117</v>
      </c>
      <c r="C8">
        <v>625</v>
      </c>
      <c r="D8">
        <v>587</v>
      </c>
      <c r="E8">
        <v>1212</v>
      </c>
      <c r="F8">
        <v>2.578449101159451</v>
      </c>
      <c r="G8">
        <v>2632.2656000000002</v>
      </c>
      <c r="H8">
        <v>2092.0715502555372</v>
      </c>
      <c r="I8">
        <v>540.19404974446343</v>
      </c>
      <c r="J8">
        <v>2840.6587421934341</v>
      </c>
      <c r="K8">
        <v>2618.969388977428</v>
      </c>
      <c r="L8">
        <v>3.4444464533914032</v>
      </c>
      <c r="M8">
        <v>5.9182102360940628E-4</v>
      </c>
      <c r="N8" t="s">
        <v>44</v>
      </c>
      <c r="O8">
        <v>2294</v>
      </c>
      <c r="P8">
        <v>0</v>
      </c>
      <c r="Q8">
        <v>2294</v>
      </c>
      <c r="R8">
        <v>0.6048</v>
      </c>
      <c r="S8">
        <v>0.49574105621805792</v>
      </c>
      <c r="T8">
        <v>0.1090589437819421</v>
      </c>
      <c r="U8">
        <v>1645166</v>
      </c>
      <c r="V8">
        <v>1228046</v>
      </c>
      <c r="W8">
        <v>417120</v>
      </c>
      <c r="X8">
        <v>1.0791687366933771</v>
      </c>
      <c r="Y8">
        <v>1.2518545977347351</v>
      </c>
    </row>
    <row r="9" spans="1:25" x14ac:dyDescent="0.3">
      <c r="A9" t="s">
        <v>28</v>
      </c>
      <c r="B9">
        <v>213</v>
      </c>
      <c r="C9">
        <v>232</v>
      </c>
      <c r="D9">
        <v>255</v>
      </c>
      <c r="E9">
        <v>487</v>
      </c>
      <c r="F9">
        <v>1.0360599936177</v>
      </c>
      <c r="G9">
        <v>3037.4568965517242</v>
      </c>
      <c r="H9">
        <v>2332.0431372549019</v>
      </c>
      <c r="I9">
        <v>705.41375929682226</v>
      </c>
      <c r="J9">
        <v>2914.4652250314448</v>
      </c>
      <c r="K9">
        <v>2713.2913712060058</v>
      </c>
      <c r="L9">
        <v>2.7566389706136891</v>
      </c>
      <c r="M9">
        <v>6.0660793588040232E-3</v>
      </c>
      <c r="N9" t="s">
        <v>44</v>
      </c>
      <c r="O9">
        <v>3019.5</v>
      </c>
      <c r="P9">
        <v>1861</v>
      </c>
      <c r="Q9">
        <v>1158.5</v>
      </c>
      <c r="R9">
        <v>0.67241379310344829</v>
      </c>
      <c r="S9">
        <v>0.56862745098039214</v>
      </c>
      <c r="T9">
        <v>0.10378634212305619</v>
      </c>
      <c r="U9">
        <v>704690</v>
      </c>
      <c r="V9">
        <v>594671</v>
      </c>
      <c r="W9">
        <v>110019</v>
      </c>
      <c r="X9">
        <v>0.9595083401315404</v>
      </c>
      <c r="Y9">
        <v>1.163482496468689</v>
      </c>
    </row>
    <row r="10" spans="1:25" x14ac:dyDescent="0.3">
      <c r="A10" t="s">
        <v>28</v>
      </c>
      <c r="B10">
        <v>891</v>
      </c>
      <c r="C10">
        <v>159</v>
      </c>
      <c r="D10">
        <v>167</v>
      </c>
      <c r="E10">
        <v>326</v>
      </c>
      <c r="F10">
        <v>0.69354324008084245</v>
      </c>
      <c r="G10">
        <v>2706.2452830188681</v>
      </c>
      <c r="H10">
        <v>2001.4371257485029</v>
      </c>
      <c r="I10">
        <v>704.8081572703652</v>
      </c>
      <c r="J10">
        <v>2893.8887719236168</v>
      </c>
      <c r="K10">
        <v>2487.421114677994</v>
      </c>
      <c r="L10">
        <v>2.3530252711758628</v>
      </c>
      <c r="M10">
        <v>1.9242523053546939E-2</v>
      </c>
      <c r="N10" t="s">
        <v>44</v>
      </c>
      <c r="O10">
        <v>2340</v>
      </c>
      <c r="P10">
        <v>508</v>
      </c>
      <c r="Q10">
        <v>1832</v>
      </c>
      <c r="R10">
        <v>0.63522012578616349</v>
      </c>
      <c r="S10">
        <v>0.50299401197604787</v>
      </c>
      <c r="T10">
        <v>0.13222611381011559</v>
      </c>
      <c r="U10">
        <v>430293</v>
      </c>
      <c r="V10">
        <v>334240</v>
      </c>
      <c r="W10">
        <v>96053</v>
      </c>
      <c r="X10">
        <v>1.06933720682385</v>
      </c>
      <c r="Y10">
        <v>1.2428175148133831</v>
      </c>
    </row>
    <row r="11" spans="1:25" x14ac:dyDescent="0.3">
      <c r="A11" t="s">
        <v>29</v>
      </c>
      <c r="B11">
        <v>2652</v>
      </c>
      <c r="C11">
        <v>2273</v>
      </c>
      <c r="D11">
        <v>2370</v>
      </c>
      <c r="E11">
        <v>4643</v>
      </c>
      <c r="F11">
        <v>9.877672588022552</v>
      </c>
      <c r="G11">
        <v>2550.108227012759</v>
      </c>
      <c r="H11">
        <v>2006.522784810126</v>
      </c>
      <c r="I11">
        <v>543.58544220263207</v>
      </c>
      <c r="J11">
        <v>2878.2709766223188</v>
      </c>
      <c r="K11">
        <v>2579.1609827530228</v>
      </c>
      <c r="L11">
        <v>6.767643876321995</v>
      </c>
      <c r="M11">
        <v>1.4755183224326161E-11</v>
      </c>
      <c r="N11" t="s">
        <v>44</v>
      </c>
      <c r="O11">
        <v>2357</v>
      </c>
      <c r="P11">
        <v>0</v>
      </c>
      <c r="Q11">
        <v>2357</v>
      </c>
      <c r="R11">
        <v>0.60272767267927851</v>
      </c>
      <c r="S11">
        <v>0.49409282700421941</v>
      </c>
      <c r="T11">
        <v>0.1086348456750591</v>
      </c>
      <c r="U11">
        <v>5796396</v>
      </c>
      <c r="V11">
        <v>4755459</v>
      </c>
      <c r="W11">
        <v>1040937</v>
      </c>
      <c r="X11">
        <v>1.128685812677831</v>
      </c>
      <c r="Y11">
        <v>1.2853883356211599</v>
      </c>
    </row>
    <row r="12" spans="1:25" x14ac:dyDescent="0.3">
      <c r="A12" t="s">
        <v>29</v>
      </c>
      <c r="B12">
        <v>1287</v>
      </c>
      <c r="C12">
        <v>370</v>
      </c>
      <c r="D12">
        <v>357</v>
      </c>
      <c r="E12">
        <v>727</v>
      </c>
      <c r="F12">
        <v>1.546643974045314</v>
      </c>
      <c r="G12">
        <v>2152.8675675675681</v>
      </c>
      <c r="H12">
        <v>1404.3753501400561</v>
      </c>
      <c r="I12">
        <v>748.4922174275116</v>
      </c>
      <c r="J12">
        <v>2458.5097875274032</v>
      </c>
      <c r="K12">
        <v>2339.8597298440141</v>
      </c>
      <c r="L12">
        <v>4.2058194627822552</v>
      </c>
      <c r="M12">
        <v>2.92721886399926E-5</v>
      </c>
      <c r="N12" t="s">
        <v>44</v>
      </c>
      <c r="O12">
        <v>1596.5</v>
      </c>
      <c r="P12">
        <v>0</v>
      </c>
      <c r="Q12">
        <v>1596.5</v>
      </c>
      <c r="R12">
        <v>0.55405405405405406</v>
      </c>
      <c r="S12">
        <v>0.36414565826330531</v>
      </c>
      <c r="T12">
        <v>0.18990839579074881</v>
      </c>
      <c r="U12">
        <v>796561</v>
      </c>
      <c r="V12">
        <v>501362</v>
      </c>
      <c r="W12">
        <v>295199</v>
      </c>
      <c r="X12">
        <v>1.1419698194929691</v>
      </c>
      <c r="Y12">
        <v>1.666121332598627</v>
      </c>
    </row>
    <row r="13" spans="1:25" x14ac:dyDescent="0.3">
      <c r="A13" t="s">
        <v>29</v>
      </c>
      <c r="B13">
        <v>1654</v>
      </c>
      <c r="C13">
        <v>799</v>
      </c>
      <c r="D13">
        <v>775</v>
      </c>
      <c r="E13">
        <v>1574</v>
      </c>
      <c r="F13">
        <v>3.3485799383044359</v>
      </c>
      <c r="G13">
        <v>3180.775969962453</v>
      </c>
      <c r="H13">
        <v>2552.6606451612902</v>
      </c>
      <c r="I13">
        <v>628.11532480116284</v>
      </c>
      <c r="J13">
        <v>3206.0944242592759</v>
      </c>
      <c r="K13">
        <v>2942.869593022604</v>
      </c>
      <c r="L13">
        <v>4.051117954676541</v>
      </c>
      <c r="M13">
        <v>5.3467522547187068E-5</v>
      </c>
      <c r="N13" t="s">
        <v>44</v>
      </c>
      <c r="O13">
        <v>3540</v>
      </c>
      <c r="P13">
        <v>2304</v>
      </c>
      <c r="Q13">
        <v>1236</v>
      </c>
      <c r="R13">
        <v>0.63204005006257824</v>
      </c>
      <c r="S13">
        <v>0.60903225806451611</v>
      </c>
      <c r="T13">
        <v>2.3007791998062129E-2</v>
      </c>
      <c r="U13">
        <v>2541440</v>
      </c>
      <c r="V13">
        <v>1978312</v>
      </c>
      <c r="W13">
        <v>563128</v>
      </c>
      <c r="X13">
        <v>1.0079598357557771</v>
      </c>
      <c r="Y13">
        <v>1.152863620395832</v>
      </c>
    </row>
    <row r="14" spans="1:25" x14ac:dyDescent="0.3">
      <c r="A14" t="s">
        <v>29</v>
      </c>
      <c r="B14">
        <v>1002</v>
      </c>
      <c r="C14">
        <v>138</v>
      </c>
      <c r="D14">
        <v>188</v>
      </c>
      <c r="E14">
        <v>326</v>
      </c>
      <c r="F14">
        <v>0.69354324008084245</v>
      </c>
      <c r="G14">
        <v>4144.855072463768</v>
      </c>
      <c r="H14">
        <v>1881.702127659574</v>
      </c>
      <c r="I14">
        <v>2263.1529448041938</v>
      </c>
      <c r="J14">
        <v>4069.769784107084</v>
      </c>
      <c r="K14">
        <v>2434.5819671245131</v>
      </c>
      <c r="L14">
        <v>5.8134856680672149</v>
      </c>
      <c r="M14">
        <v>2.278920708458246E-8</v>
      </c>
      <c r="N14" t="s">
        <v>44</v>
      </c>
      <c r="O14">
        <v>4145.5</v>
      </c>
      <c r="P14">
        <v>0</v>
      </c>
      <c r="Q14">
        <v>4145.5</v>
      </c>
      <c r="R14">
        <v>0.68840579710144922</v>
      </c>
      <c r="S14">
        <v>0.45744680851063829</v>
      </c>
      <c r="T14">
        <v>0.2309589885908109</v>
      </c>
      <c r="U14">
        <v>571990</v>
      </c>
      <c r="V14">
        <v>353760</v>
      </c>
      <c r="W14">
        <v>218230</v>
      </c>
      <c r="X14">
        <v>0.98188470114298798</v>
      </c>
      <c r="Y14">
        <v>1.2938190010725019</v>
      </c>
    </row>
    <row r="15" spans="1:25" x14ac:dyDescent="0.3">
      <c r="A15" t="s">
        <v>36</v>
      </c>
      <c r="B15">
        <v>11</v>
      </c>
      <c r="C15">
        <v>509</v>
      </c>
      <c r="D15">
        <v>608</v>
      </c>
      <c r="E15">
        <v>1117</v>
      </c>
      <c r="F15">
        <v>2.3763429422401869</v>
      </c>
      <c r="G15">
        <v>2615.3929273084482</v>
      </c>
      <c r="H15">
        <v>2137.146381578948</v>
      </c>
      <c r="I15">
        <v>478.24654572950021</v>
      </c>
      <c r="J15">
        <v>3028.5370469117302</v>
      </c>
      <c r="K15">
        <v>2670.8100024424512</v>
      </c>
      <c r="L15">
        <v>2.7726418442494278</v>
      </c>
      <c r="M15">
        <v>5.6614046276662524E-3</v>
      </c>
      <c r="N15" t="s">
        <v>44</v>
      </c>
      <c r="O15">
        <v>2035</v>
      </c>
      <c r="P15">
        <v>610</v>
      </c>
      <c r="Q15">
        <v>1425</v>
      </c>
      <c r="R15">
        <v>0.56188605108055012</v>
      </c>
      <c r="S15">
        <v>0.50328947368421051</v>
      </c>
      <c r="T15">
        <v>5.8596577396339611E-2</v>
      </c>
      <c r="U15">
        <v>1331235</v>
      </c>
      <c r="V15">
        <v>1299385</v>
      </c>
      <c r="W15">
        <v>31850</v>
      </c>
      <c r="X15">
        <v>1.1579663672289791</v>
      </c>
      <c r="Y15">
        <v>1.249708501702737</v>
      </c>
    </row>
    <row r="16" spans="1:25" x14ac:dyDescent="0.3">
      <c r="A16" t="s">
        <v>37</v>
      </c>
      <c r="B16">
        <v>33</v>
      </c>
      <c r="C16">
        <v>232</v>
      </c>
      <c r="D16">
        <v>258</v>
      </c>
      <c r="E16">
        <v>490</v>
      </c>
      <c r="F16">
        <v>1.0424422933730459</v>
      </c>
      <c r="G16">
        <v>4747.7887931034484</v>
      </c>
      <c r="H16">
        <v>2351.7364341085272</v>
      </c>
      <c r="I16">
        <v>2396.0523589949212</v>
      </c>
      <c r="J16">
        <v>2885.8736420956238</v>
      </c>
      <c r="K16">
        <v>2385.9568898991611</v>
      </c>
      <c r="L16">
        <v>9.9522597271958197</v>
      </c>
      <c r="M16">
        <v>3.1991974844035339E-21</v>
      </c>
      <c r="N16" t="s">
        <v>44</v>
      </c>
      <c r="O16">
        <v>3789.5</v>
      </c>
      <c r="P16">
        <v>2229</v>
      </c>
      <c r="Q16">
        <v>1560.5</v>
      </c>
      <c r="R16">
        <v>0.97413793103448276</v>
      </c>
      <c r="S16">
        <v>0.60852713178294571</v>
      </c>
      <c r="T16">
        <v>0.36561079925153711</v>
      </c>
      <c r="U16">
        <v>1101487</v>
      </c>
      <c r="V16">
        <v>606748</v>
      </c>
      <c r="W16">
        <v>494739</v>
      </c>
      <c r="X16">
        <v>0.60783530351804849</v>
      </c>
      <c r="Y16">
        <v>1.0145511441224091</v>
      </c>
    </row>
    <row r="17" spans="1:25" x14ac:dyDescent="0.3">
      <c r="A17" t="s">
        <v>37</v>
      </c>
      <c r="B17">
        <v>34</v>
      </c>
      <c r="C17">
        <v>225</v>
      </c>
      <c r="D17">
        <v>253</v>
      </c>
      <c r="E17">
        <v>478</v>
      </c>
      <c r="F17">
        <v>1.0169130943516651</v>
      </c>
      <c r="G17">
        <v>3197.04</v>
      </c>
      <c r="H17">
        <v>1848.616600790514</v>
      </c>
      <c r="I17">
        <v>1348.423399209486</v>
      </c>
      <c r="J17">
        <v>2931.9907673797352</v>
      </c>
      <c r="K17">
        <v>2558.073727956224</v>
      </c>
      <c r="L17">
        <v>5.3271338352439166</v>
      </c>
      <c r="M17">
        <v>1.583597654408105E-7</v>
      </c>
      <c r="N17" t="s">
        <v>44</v>
      </c>
      <c r="O17">
        <v>3046</v>
      </c>
      <c r="P17">
        <v>0</v>
      </c>
      <c r="Q17">
        <v>3046</v>
      </c>
      <c r="R17">
        <v>0.7155555555555555</v>
      </c>
      <c r="S17">
        <v>0.43873517786561272</v>
      </c>
      <c r="T17">
        <v>0.27682037768994278</v>
      </c>
      <c r="U17">
        <v>719334</v>
      </c>
      <c r="V17">
        <v>467700</v>
      </c>
      <c r="W17">
        <v>251634</v>
      </c>
      <c r="X17">
        <v>0.91709542807713851</v>
      </c>
      <c r="Y17">
        <v>1.383777321301956</v>
      </c>
    </row>
    <row r="18" spans="1:25" x14ac:dyDescent="0.3">
      <c r="A18" t="s">
        <v>37</v>
      </c>
      <c r="B18">
        <v>35</v>
      </c>
      <c r="C18">
        <v>214</v>
      </c>
      <c r="D18">
        <v>194</v>
      </c>
      <c r="E18">
        <v>408</v>
      </c>
      <c r="F18">
        <v>0.86799276672694403</v>
      </c>
      <c r="G18">
        <v>2778.439252336449</v>
      </c>
      <c r="H18">
        <v>1526.7216494845361</v>
      </c>
      <c r="I18">
        <v>1251.717602851912</v>
      </c>
      <c r="J18">
        <v>2995.1670231044532</v>
      </c>
      <c r="K18">
        <v>2186.5949289384721</v>
      </c>
      <c r="L18">
        <v>4.8515447386781716</v>
      </c>
      <c r="M18">
        <v>1.776038569475557E-6</v>
      </c>
      <c r="N18" t="s">
        <v>44</v>
      </c>
      <c r="O18">
        <v>2522.5</v>
      </c>
      <c r="P18">
        <v>0</v>
      </c>
      <c r="Q18">
        <v>2522.5</v>
      </c>
      <c r="R18">
        <v>0.64953271028037385</v>
      </c>
      <c r="S18">
        <v>0.40721649484536082</v>
      </c>
      <c r="T18">
        <v>0.242316215435013</v>
      </c>
      <c r="U18">
        <v>594586</v>
      </c>
      <c r="V18">
        <v>296184</v>
      </c>
      <c r="W18">
        <v>298402</v>
      </c>
      <c r="X18">
        <v>1.0780034224558821</v>
      </c>
      <c r="Y18">
        <v>1.432215839525645</v>
      </c>
    </row>
    <row r="19" spans="1:25" x14ac:dyDescent="0.3">
      <c r="A19" t="s">
        <v>37</v>
      </c>
      <c r="B19">
        <v>36</v>
      </c>
      <c r="C19">
        <v>131</v>
      </c>
      <c r="D19">
        <v>141</v>
      </c>
      <c r="E19">
        <v>272</v>
      </c>
      <c r="F19">
        <v>0.57866184448462932</v>
      </c>
      <c r="G19">
        <v>2013.8167938931299</v>
      </c>
      <c r="H19">
        <v>860.41843971631204</v>
      </c>
      <c r="I19">
        <v>1153.398354176818</v>
      </c>
      <c r="J19">
        <v>2798.5300284298341</v>
      </c>
      <c r="K19">
        <v>1840.8266394516061</v>
      </c>
      <c r="L19">
        <v>3.9839341236853358</v>
      </c>
      <c r="M19">
        <v>9.1901046432808566E-5</v>
      </c>
      <c r="N19" t="s">
        <v>44</v>
      </c>
      <c r="O19">
        <v>0</v>
      </c>
      <c r="P19">
        <v>0</v>
      </c>
      <c r="Q19">
        <v>0</v>
      </c>
      <c r="R19">
        <v>0.4580152671755725</v>
      </c>
      <c r="S19">
        <v>0.23404255319148939</v>
      </c>
      <c r="T19">
        <v>0.22397271398408311</v>
      </c>
      <c r="U19">
        <v>263810</v>
      </c>
      <c r="V19">
        <v>121319</v>
      </c>
      <c r="W19">
        <v>142491</v>
      </c>
      <c r="X19">
        <v>1.3896646591270549</v>
      </c>
      <c r="Y19">
        <v>2.1394551237866821</v>
      </c>
    </row>
    <row r="22" spans="1:25" x14ac:dyDescent="0.3">
      <c r="A22" s="5" t="s">
        <v>56</v>
      </c>
      <c r="B22" s="6"/>
      <c r="C22" s="6"/>
      <c r="D22" s="6"/>
      <c r="E22" s="7"/>
    </row>
    <row r="24" spans="1:25" x14ac:dyDescent="0.3">
      <c r="A24" s="13" t="s">
        <v>55</v>
      </c>
      <c r="B24" s="10" t="s">
        <v>54</v>
      </c>
    </row>
    <row r="25" spans="1:25" x14ac:dyDescent="0.3">
      <c r="A25" s="8">
        <v>991</v>
      </c>
      <c r="B25" s="11">
        <f>I2*Итог!$B$2*(F2/100)</f>
        <v>9630.0539842217804</v>
      </c>
    </row>
    <row r="26" spans="1:25" x14ac:dyDescent="0.3">
      <c r="A26" s="8">
        <v>453</v>
      </c>
      <c r="B26" s="11">
        <f>I3*Итог!$B$2*(F3/100)</f>
        <v>28982.285788529385</v>
      </c>
    </row>
    <row r="27" spans="1:25" x14ac:dyDescent="0.3">
      <c r="A27" s="8">
        <v>112</v>
      </c>
      <c r="B27" s="11">
        <f>I4*Итог!$B$2*(F4/100)</f>
        <v>9178.7707341484584</v>
      </c>
    </row>
    <row r="28" spans="1:25" x14ac:dyDescent="0.3">
      <c r="A28" s="8">
        <v>801</v>
      </c>
      <c r="B28" s="11">
        <f>I5*Итог!$B$2*(F5/100)</f>
        <v>5603.7702835930941</v>
      </c>
    </row>
    <row r="29" spans="1:25" x14ac:dyDescent="0.3">
      <c r="A29" s="8">
        <v>573</v>
      </c>
      <c r="B29" s="11">
        <f>I6*Итог!$B$2*(F6/100)</f>
        <v>10061.44014009809</v>
      </c>
    </row>
    <row r="30" spans="1:25" x14ac:dyDescent="0.3">
      <c r="A30" s="8">
        <v>900</v>
      </c>
      <c r="B30" s="11">
        <f>I7*Итог!$B$2*(F7/100)</f>
        <v>11252.943525707398</v>
      </c>
    </row>
    <row r="31" spans="1:25" x14ac:dyDescent="0.3">
      <c r="A31" s="8">
        <v>117</v>
      </c>
      <c r="B31" s="11">
        <f>I8*Итог!$B$2*(F8/100)</f>
        <v>13928.628620152955</v>
      </c>
    </row>
    <row r="32" spans="1:25" x14ac:dyDescent="0.3">
      <c r="A32" s="8">
        <v>213</v>
      </c>
      <c r="B32" s="11">
        <f>I9*Итог!$B$2*(F9/100)</f>
        <v>7308.5097495490345</v>
      </c>
    </row>
    <row r="33" spans="1:2" x14ac:dyDescent="0.3">
      <c r="A33" s="8">
        <v>891</v>
      </c>
      <c r="B33" s="11">
        <f>I10*Итог!$B$2*(F10/100)</f>
        <v>4888.1493302869703</v>
      </c>
    </row>
    <row r="34" spans="1:2" x14ac:dyDescent="0.3">
      <c r="A34" s="8">
        <v>2652</v>
      </c>
      <c r="B34" s="11">
        <f>I11*Итог!$B$2*(F11/100)</f>
        <v>53693.590216930555</v>
      </c>
    </row>
    <row r="35" spans="1:2" x14ac:dyDescent="0.3">
      <c r="A35" s="8">
        <v>1287</v>
      </c>
      <c r="B35" s="11">
        <f>I12*Итог!$B$2*(F12/100)</f>
        <v>11576.509777040757</v>
      </c>
    </row>
    <row r="36" spans="1:2" x14ac:dyDescent="0.3">
      <c r="A36" s="8">
        <v>1654</v>
      </c>
      <c r="B36" s="11">
        <f>I13*Итог!$B$2*(F13/100)</f>
        <v>21032.943755707485</v>
      </c>
    </row>
    <row r="37" spans="1:2" x14ac:dyDescent="0.3">
      <c r="A37" s="8">
        <v>1002</v>
      </c>
      <c r="B37" s="11">
        <f>I14*Итог!$B$2*(F14/100)</f>
        <v>15695.944261380007</v>
      </c>
    </row>
    <row r="38" spans="1:2" x14ac:dyDescent="0.3">
      <c r="A38" s="8">
        <v>11</v>
      </c>
      <c r="B38" s="11">
        <f>I15*Итог!$B$2*(F15/100)</f>
        <v>11364.778035950467</v>
      </c>
    </row>
    <row r="39" spans="1:2" x14ac:dyDescent="0.3">
      <c r="A39" s="8">
        <v>33</v>
      </c>
      <c r="B39" s="11">
        <f>I16*Итог!$B$2*(F16/100)</f>
        <v>24977.463161525626</v>
      </c>
    </row>
    <row r="40" spans="1:2" x14ac:dyDescent="0.3">
      <c r="A40" s="8">
        <v>34</v>
      </c>
      <c r="B40" s="11">
        <f>I17*Итог!$B$2*(F17/100)</f>
        <v>13712.29411386309</v>
      </c>
    </row>
    <row r="41" spans="1:2" x14ac:dyDescent="0.3">
      <c r="A41" s="8">
        <v>35</v>
      </c>
      <c r="B41" s="11">
        <f>I18*Итог!$B$2*(F18/100)</f>
        <v>10864.818252602492</v>
      </c>
    </row>
    <row r="42" spans="1:2" x14ac:dyDescent="0.3">
      <c r="A42" s="9">
        <v>36</v>
      </c>
      <c r="B42" s="12">
        <f>I19*Итог!$B$2*(F19/100)</f>
        <v>6674.2761905349316</v>
      </c>
    </row>
  </sheetData>
  <conditionalFormatting sqref="B25:B4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61D2-86D4-4E6E-89A4-033D5982242A}">
  <dimension ref="A1:Y10"/>
  <sheetViews>
    <sheetView workbookViewId="0">
      <selection sqref="A1:Y1"/>
    </sheetView>
  </sheetViews>
  <sheetFormatPr defaultRowHeight="14.4" x14ac:dyDescent="0.3"/>
  <cols>
    <col min="1" max="1" width="15.77734375" customWidth="1"/>
    <col min="2" max="2" width="17.88671875" customWidth="1"/>
    <col min="3" max="3" width="10" bestFit="1" customWidth="1"/>
    <col min="4" max="4" width="12.88671875" bestFit="1" customWidth="1"/>
    <col min="5" max="5" width="8.77734375" bestFit="1" customWidth="1"/>
    <col min="6" max="6" width="13.44140625" bestFit="1" customWidth="1"/>
    <col min="7" max="7" width="16.77734375" bestFit="1" customWidth="1"/>
    <col min="8" max="8" width="19.77734375" bestFit="1" customWidth="1"/>
    <col min="9" max="9" width="12.6640625" bestFit="1" customWidth="1"/>
    <col min="10" max="10" width="12" bestFit="1" customWidth="1"/>
    <col min="11" max="11" width="12.88671875" bestFit="1" customWidth="1"/>
    <col min="12" max="12" width="12.6640625" bestFit="1" customWidth="1"/>
    <col min="13" max="13" width="12" bestFit="1" customWidth="1"/>
    <col min="14" max="14" width="7.88671875" bestFit="1" customWidth="1"/>
    <col min="15" max="15" width="20.21875" bestFit="1" customWidth="1"/>
    <col min="16" max="16" width="23.21875" bestFit="1" customWidth="1"/>
    <col min="17" max="17" width="11.21875" bestFit="1" customWidth="1"/>
    <col min="18" max="18" width="14.44140625" bestFit="1" customWidth="1"/>
    <col min="19" max="19" width="17.44140625" bestFit="1" customWidth="1"/>
    <col min="20" max="20" width="14.21875" bestFit="1" customWidth="1"/>
    <col min="21" max="21" width="17.77734375" bestFit="1" customWidth="1"/>
    <col min="22" max="22" width="20.6640625" bestFit="1" customWidth="1"/>
    <col min="23" max="23" width="8.77734375" bestFit="1" customWidth="1"/>
    <col min="24" max="25" width="12" bestFit="1" customWidth="1"/>
  </cols>
  <sheetData>
    <row r="1" spans="1:25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2" t="s">
        <v>6</v>
      </c>
      <c r="H1" s="22" t="s">
        <v>7</v>
      </c>
      <c r="I1" s="23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</row>
    <row r="2" spans="1:25" x14ac:dyDescent="0.3">
      <c r="A2" t="s">
        <v>29</v>
      </c>
      <c r="B2">
        <v>9931</v>
      </c>
      <c r="C2">
        <v>153</v>
      </c>
      <c r="D2">
        <v>137</v>
      </c>
      <c r="E2">
        <v>290</v>
      </c>
      <c r="F2">
        <v>0.61695564301670036</v>
      </c>
      <c r="G2">
        <v>1438.464052287582</v>
      </c>
      <c r="H2">
        <v>1994.0218978102189</v>
      </c>
      <c r="I2">
        <v>-555.55784552263708</v>
      </c>
      <c r="J2">
        <v>2041.6097719374061</v>
      </c>
      <c r="K2">
        <v>2400.7810753119061</v>
      </c>
      <c r="L2">
        <v>-2.110174925464896</v>
      </c>
      <c r="M2">
        <v>3.5768574973640582E-2</v>
      </c>
      <c r="N2" t="s">
        <v>45</v>
      </c>
      <c r="O2">
        <v>0</v>
      </c>
      <c r="P2">
        <v>1430</v>
      </c>
      <c r="Q2">
        <v>-1430</v>
      </c>
      <c r="R2">
        <v>0.36601307189542481</v>
      </c>
      <c r="S2">
        <v>0.52554744525547448</v>
      </c>
      <c r="T2">
        <v>-0.15953437336004969</v>
      </c>
      <c r="U2">
        <v>220085</v>
      </c>
      <c r="V2">
        <v>273181</v>
      </c>
      <c r="W2">
        <v>-53096</v>
      </c>
      <c r="X2">
        <v>1.419298430635541</v>
      </c>
      <c r="Y2">
        <v>1.203989323260882</v>
      </c>
    </row>
    <row r="3" spans="1:25" x14ac:dyDescent="0.3">
      <c r="A3" t="s">
        <v>38</v>
      </c>
      <c r="B3">
        <v>1101</v>
      </c>
      <c r="C3">
        <v>785</v>
      </c>
      <c r="D3">
        <v>869</v>
      </c>
      <c r="E3">
        <v>1654</v>
      </c>
      <c r="F3">
        <v>3.5187745984469729</v>
      </c>
      <c r="G3">
        <v>2211.3668789808921</v>
      </c>
      <c r="H3">
        <v>2559.5166858458001</v>
      </c>
      <c r="I3">
        <v>-348.14980686490799</v>
      </c>
      <c r="J3">
        <v>2717.781482506763</v>
      </c>
      <c r="K3">
        <v>2962.72550581729</v>
      </c>
      <c r="L3">
        <v>-2.4924934133567902</v>
      </c>
      <c r="M3">
        <v>1.278230835529055E-2</v>
      </c>
      <c r="N3" t="s">
        <v>45</v>
      </c>
      <c r="O3">
        <v>991</v>
      </c>
      <c r="P3">
        <v>1956</v>
      </c>
      <c r="Q3">
        <v>-965</v>
      </c>
      <c r="R3">
        <v>0.51337579617834395</v>
      </c>
      <c r="S3">
        <v>0.5650172612197929</v>
      </c>
      <c r="T3">
        <v>-5.1641465041448953E-2</v>
      </c>
      <c r="U3">
        <v>1735923</v>
      </c>
      <c r="V3">
        <v>2224220</v>
      </c>
      <c r="W3">
        <v>-488297</v>
      </c>
      <c r="X3">
        <v>1.2290052403060561</v>
      </c>
      <c r="Y3">
        <v>1.1575331867149941</v>
      </c>
    </row>
    <row r="6" spans="1:25" x14ac:dyDescent="0.3">
      <c r="A6" s="5" t="s">
        <v>56</v>
      </c>
      <c r="B6" s="6"/>
      <c r="C6" s="6"/>
      <c r="D6" s="6"/>
      <c r="E6" s="7"/>
    </row>
    <row r="8" spans="1:25" x14ac:dyDescent="0.3">
      <c r="A8" s="13" t="s">
        <v>55</v>
      </c>
      <c r="B8" s="10" t="s">
        <v>57</v>
      </c>
    </row>
    <row r="9" spans="1:25" x14ac:dyDescent="0.3">
      <c r="A9" s="20">
        <v>9931</v>
      </c>
      <c r="B9" s="16">
        <f>I2*Итог!$B$2 * (F2/100)</f>
        <v>-3427.5454781739127</v>
      </c>
    </row>
    <row r="10" spans="1:25" x14ac:dyDescent="0.3">
      <c r="A10" s="9">
        <v>1101</v>
      </c>
      <c r="B10" s="17">
        <f>I3*Итог!$B$2 * (F3/100)</f>
        <v>-12250.606968504577</v>
      </c>
    </row>
  </sheetData>
  <conditionalFormatting sqref="B9:B10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3334-61E4-4FE3-B0EE-9B57804236F6}">
  <dimension ref="A1:Y74"/>
  <sheetViews>
    <sheetView topLeftCell="L1" workbookViewId="0">
      <selection activeCell="K12" sqref="K12"/>
    </sheetView>
  </sheetViews>
  <sheetFormatPr defaultRowHeight="14.4" x14ac:dyDescent="0.3"/>
  <cols>
    <col min="1" max="1" width="15.33203125" bestFit="1" customWidth="1"/>
    <col min="2" max="2" width="24" customWidth="1"/>
    <col min="3" max="3" width="10" bestFit="1" customWidth="1"/>
    <col min="4" max="4" width="12.88671875" customWidth="1"/>
    <col min="5" max="5" width="8.77734375" customWidth="1"/>
    <col min="6" max="6" width="13.44140625" bestFit="1" customWidth="1"/>
    <col min="7" max="7" width="16.77734375" bestFit="1" customWidth="1"/>
    <col min="8" max="8" width="19.77734375" bestFit="1" customWidth="1"/>
    <col min="9" max="9" width="12.6640625" bestFit="1" customWidth="1"/>
    <col min="10" max="10" width="12" bestFit="1" customWidth="1"/>
    <col min="11" max="11" width="12.88671875" bestFit="1" customWidth="1"/>
    <col min="12" max="12" width="12.6640625" bestFit="1" customWidth="1"/>
    <col min="13" max="13" width="12" bestFit="1" customWidth="1"/>
    <col min="14" max="14" width="6.77734375" bestFit="1" customWidth="1"/>
    <col min="15" max="15" width="20.21875" bestFit="1" customWidth="1"/>
    <col min="16" max="16" width="23.21875" bestFit="1" customWidth="1"/>
    <col min="17" max="17" width="11.21875" bestFit="1" customWidth="1"/>
    <col min="18" max="18" width="14.44140625" bestFit="1" customWidth="1"/>
    <col min="19" max="19" width="17.44140625" bestFit="1" customWidth="1"/>
    <col min="20" max="20" width="14.21875" bestFit="1" customWidth="1"/>
    <col min="21" max="21" width="17.77734375" bestFit="1" customWidth="1"/>
    <col min="22" max="22" width="20.6640625" bestFit="1" customWidth="1"/>
    <col min="23" max="23" width="8.77734375" bestFit="1" customWidth="1"/>
    <col min="24" max="25" width="12" bestFit="1" customWidth="1"/>
  </cols>
  <sheetData>
    <row r="1" spans="1:25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</row>
    <row r="2" spans="1:25" x14ac:dyDescent="0.3">
      <c r="A2" t="s">
        <v>25</v>
      </c>
      <c r="B2">
        <v>212</v>
      </c>
      <c r="C2">
        <v>593</v>
      </c>
      <c r="D2">
        <v>575</v>
      </c>
      <c r="E2">
        <v>1168</v>
      </c>
      <c r="F2">
        <v>2.4848420380810552</v>
      </c>
      <c r="G2">
        <v>2161.871838111299</v>
      </c>
      <c r="H2">
        <v>2264.2956521739129</v>
      </c>
      <c r="I2">
        <v>-102.4238140626144</v>
      </c>
      <c r="J2">
        <v>2708.3803553207372</v>
      </c>
      <c r="K2">
        <v>2785.4326638748721</v>
      </c>
      <c r="L2">
        <v>-0.63688404845827784</v>
      </c>
      <c r="M2">
        <v>0.52432582294876062</v>
      </c>
      <c r="N2" t="s">
        <v>43</v>
      </c>
      <c r="O2">
        <v>976</v>
      </c>
      <c r="P2">
        <v>1093</v>
      </c>
      <c r="Q2">
        <v>-117</v>
      </c>
      <c r="R2">
        <v>0.52613827993254636</v>
      </c>
      <c r="S2">
        <v>0.51826086956521744</v>
      </c>
      <c r="T2">
        <v>7.8774103673289186E-3</v>
      </c>
      <c r="U2">
        <v>1281990</v>
      </c>
      <c r="V2">
        <v>1301970</v>
      </c>
      <c r="W2">
        <v>-19980</v>
      </c>
      <c r="X2">
        <v>1.252794133109616</v>
      </c>
      <c r="Y2">
        <v>1.230154136983227</v>
      </c>
    </row>
    <row r="3" spans="1:25" x14ac:dyDescent="0.3">
      <c r="A3" t="s">
        <v>25</v>
      </c>
      <c r="B3">
        <v>278</v>
      </c>
      <c r="C3">
        <v>535</v>
      </c>
      <c r="D3">
        <v>489</v>
      </c>
      <c r="E3">
        <v>1024</v>
      </c>
      <c r="F3">
        <v>2.1784916498244868</v>
      </c>
      <c r="G3">
        <v>2557.7196261682238</v>
      </c>
      <c r="H3">
        <v>2256.1758691206542</v>
      </c>
      <c r="I3">
        <v>301.54375704757012</v>
      </c>
      <c r="J3">
        <v>2967.3350646097861</v>
      </c>
      <c r="K3">
        <v>2615.6570691573679</v>
      </c>
      <c r="L3">
        <v>1.728073759084533</v>
      </c>
      <c r="M3">
        <v>8.4277457814196335E-2</v>
      </c>
      <c r="N3" t="s">
        <v>43</v>
      </c>
      <c r="O3">
        <v>1933</v>
      </c>
      <c r="P3">
        <v>1393</v>
      </c>
      <c r="Q3">
        <v>540</v>
      </c>
      <c r="R3">
        <v>0.55514018691588785</v>
      </c>
      <c r="S3">
        <v>0.54192229038854811</v>
      </c>
      <c r="T3">
        <v>1.3217896527339731E-2</v>
      </c>
      <c r="U3">
        <v>1368380</v>
      </c>
      <c r="V3">
        <v>1103270</v>
      </c>
      <c r="W3">
        <v>265110</v>
      </c>
      <c r="X3">
        <v>1.160148686451304</v>
      </c>
      <c r="Y3">
        <v>1.159332082643372</v>
      </c>
    </row>
    <row r="4" spans="1:25" x14ac:dyDescent="0.3">
      <c r="A4" t="s">
        <v>25</v>
      </c>
      <c r="B4">
        <v>202</v>
      </c>
      <c r="C4">
        <v>551</v>
      </c>
      <c r="D4">
        <v>565</v>
      </c>
      <c r="E4">
        <v>1116</v>
      </c>
      <c r="F4">
        <v>2.3742155089884061</v>
      </c>
      <c r="G4">
        <v>2984.0199637023588</v>
      </c>
      <c r="H4">
        <v>2754.945132743363</v>
      </c>
      <c r="I4">
        <v>229.07483095899619</v>
      </c>
      <c r="J4">
        <v>2978.1745943020442</v>
      </c>
      <c r="K4">
        <v>2735.186400256362</v>
      </c>
      <c r="L4">
        <v>1.337396080604691</v>
      </c>
      <c r="M4">
        <v>0.18136967289038519</v>
      </c>
      <c r="N4" t="s">
        <v>43</v>
      </c>
      <c r="O4">
        <v>2961</v>
      </c>
      <c r="P4">
        <v>2653</v>
      </c>
      <c r="Q4">
        <v>308</v>
      </c>
      <c r="R4">
        <v>0.64065335753176045</v>
      </c>
      <c r="S4">
        <v>0.65486725663716816</v>
      </c>
      <c r="T4">
        <v>-1.4213899105407711E-2</v>
      </c>
      <c r="U4">
        <v>1644195</v>
      </c>
      <c r="V4">
        <v>1556544</v>
      </c>
      <c r="W4">
        <v>87651</v>
      </c>
      <c r="X4">
        <v>0.9980411091509378</v>
      </c>
      <c r="Y4">
        <v>0.99282790344818039</v>
      </c>
    </row>
    <row r="5" spans="1:25" x14ac:dyDescent="0.3">
      <c r="A5" t="s">
        <v>25</v>
      </c>
      <c r="B5">
        <v>444</v>
      </c>
      <c r="C5">
        <v>650</v>
      </c>
      <c r="D5">
        <v>562</v>
      </c>
      <c r="E5">
        <v>1212</v>
      </c>
      <c r="F5">
        <v>2.578449101159451</v>
      </c>
      <c r="G5">
        <v>2473.5061538461541</v>
      </c>
      <c r="H5">
        <v>2626.0017793594311</v>
      </c>
      <c r="I5">
        <v>-152.49562551327699</v>
      </c>
      <c r="J5">
        <v>2816.4542840544318</v>
      </c>
      <c r="K5">
        <v>2820.954432295523</v>
      </c>
      <c r="L5">
        <v>-0.93919565854277443</v>
      </c>
      <c r="M5">
        <v>0.34782180428422182</v>
      </c>
      <c r="N5" t="s">
        <v>43</v>
      </c>
      <c r="O5">
        <v>2118.5</v>
      </c>
      <c r="P5">
        <v>2406</v>
      </c>
      <c r="Q5">
        <v>-287.5</v>
      </c>
      <c r="R5">
        <v>0.57076923076923081</v>
      </c>
      <c r="S5">
        <v>0.59252669039145911</v>
      </c>
      <c r="T5">
        <v>-2.17574596222283E-2</v>
      </c>
      <c r="U5">
        <v>1607779</v>
      </c>
      <c r="V5">
        <v>1475813</v>
      </c>
      <c r="W5">
        <v>131966</v>
      </c>
      <c r="X5">
        <v>1.138648585804007</v>
      </c>
      <c r="Y5">
        <v>1.074239345330394</v>
      </c>
    </row>
    <row r="6" spans="1:25" x14ac:dyDescent="0.3">
      <c r="A6" t="s">
        <v>25</v>
      </c>
      <c r="B6">
        <v>277</v>
      </c>
      <c r="C6">
        <v>708</v>
      </c>
      <c r="D6">
        <v>709</v>
      </c>
      <c r="E6">
        <v>1417</v>
      </c>
      <c r="F6">
        <v>3.0145729177747049</v>
      </c>
      <c r="G6">
        <v>2310.2556497175142</v>
      </c>
      <c r="H6">
        <v>2475.4132581100139</v>
      </c>
      <c r="I6">
        <v>-165.1576083924997</v>
      </c>
      <c r="J6">
        <v>2728.8194909748909</v>
      </c>
      <c r="K6">
        <v>2901.614247275716</v>
      </c>
      <c r="L6">
        <v>-1.103688521712507</v>
      </c>
      <c r="M6">
        <v>0.26991660595381189</v>
      </c>
      <c r="N6" t="s">
        <v>43</v>
      </c>
      <c r="O6">
        <v>1614.5</v>
      </c>
      <c r="P6">
        <v>1812</v>
      </c>
      <c r="Q6">
        <v>-197.5</v>
      </c>
      <c r="R6">
        <v>0.53813559322033899</v>
      </c>
      <c r="S6">
        <v>0.54724964739069115</v>
      </c>
      <c r="T6">
        <v>-9.1140541703521594E-3</v>
      </c>
      <c r="U6">
        <v>1635661</v>
      </c>
      <c r="V6">
        <v>1755068</v>
      </c>
      <c r="W6">
        <v>-119407</v>
      </c>
      <c r="X6">
        <v>1.181176417124467</v>
      </c>
      <c r="Y6">
        <v>1.1721736715149971</v>
      </c>
    </row>
    <row r="7" spans="1:25" x14ac:dyDescent="0.3">
      <c r="A7" t="s">
        <v>26</v>
      </c>
      <c r="B7">
        <v>54</v>
      </c>
      <c r="C7">
        <v>633</v>
      </c>
      <c r="D7">
        <v>640</v>
      </c>
      <c r="E7">
        <v>1273</v>
      </c>
      <c r="F7">
        <v>2.7082225295181361</v>
      </c>
      <c r="G7">
        <v>1746.568720379147</v>
      </c>
      <c r="H7">
        <v>1699.35625</v>
      </c>
      <c r="I7">
        <v>47.212470379146907</v>
      </c>
      <c r="J7">
        <v>2584.5197541496218</v>
      </c>
      <c r="K7">
        <v>2628.182195700093</v>
      </c>
      <c r="L7">
        <v>0.32315154427558002</v>
      </c>
      <c r="M7">
        <v>0.74663363393574844</v>
      </c>
      <c r="N7" t="s">
        <v>43</v>
      </c>
      <c r="O7">
        <v>0</v>
      </c>
      <c r="P7">
        <v>0</v>
      </c>
      <c r="Q7">
        <v>0</v>
      </c>
      <c r="R7">
        <v>0.39652448657187989</v>
      </c>
      <c r="S7">
        <v>0.38750000000000001</v>
      </c>
      <c r="T7">
        <v>9.0244865718799305E-3</v>
      </c>
      <c r="U7">
        <v>1105578</v>
      </c>
      <c r="V7">
        <v>1087588</v>
      </c>
      <c r="W7">
        <v>17990</v>
      </c>
      <c r="X7">
        <v>1.4797698618973161</v>
      </c>
      <c r="Y7">
        <v>1.5465751785125059</v>
      </c>
    </row>
    <row r="8" spans="1:25" x14ac:dyDescent="0.3">
      <c r="A8" t="s">
        <v>26</v>
      </c>
      <c r="B8">
        <v>55</v>
      </c>
      <c r="C8">
        <v>422</v>
      </c>
      <c r="D8">
        <v>425</v>
      </c>
      <c r="E8">
        <v>847</v>
      </c>
      <c r="F8">
        <v>1.8019359642591219</v>
      </c>
      <c r="G8">
        <v>2158.4431279620849</v>
      </c>
      <c r="H8">
        <v>2143.931764705882</v>
      </c>
      <c r="I8">
        <v>14.511363256202911</v>
      </c>
      <c r="J8">
        <v>2793.1877642411632</v>
      </c>
      <c r="K8">
        <v>2878.9766996823928</v>
      </c>
      <c r="L8">
        <v>7.4451246593863235E-2</v>
      </c>
      <c r="M8">
        <v>0.94066896335809802</v>
      </c>
      <c r="N8" t="s">
        <v>43</v>
      </c>
      <c r="O8">
        <v>1041.5</v>
      </c>
      <c r="P8">
        <v>0</v>
      </c>
      <c r="Q8">
        <v>1041.5</v>
      </c>
      <c r="R8">
        <v>0.52132701421800953</v>
      </c>
      <c r="S8">
        <v>0.47294117647058831</v>
      </c>
      <c r="T8">
        <v>4.8385837747421279E-2</v>
      </c>
      <c r="U8">
        <v>910863</v>
      </c>
      <c r="V8">
        <v>911171</v>
      </c>
      <c r="W8">
        <v>-308</v>
      </c>
      <c r="X8">
        <v>1.294075219335697</v>
      </c>
      <c r="Y8">
        <v>1.3428490342263051</v>
      </c>
    </row>
    <row r="9" spans="1:25" x14ac:dyDescent="0.3">
      <c r="A9" t="s">
        <v>27</v>
      </c>
      <c r="B9">
        <v>699</v>
      </c>
      <c r="C9">
        <v>482</v>
      </c>
      <c r="D9">
        <v>494</v>
      </c>
      <c r="E9">
        <v>976</v>
      </c>
      <c r="F9">
        <v>2.0763748537389639</v>
      </c>
      <c r="G9">
        <v>2494.2780082987551</v>
      </c>
      <c r="H9">
        <v>2637.570850202429</v>
      </c>
      <c r="I9">
        <v>-143.29284190367389</v>
      </c>
      <c r="J9">
        <v>3988.5068576769008</v>
      </c>
      <c r="K9">
        <v>4167.1218812101688</v>
      </c>
      <c r="L9">
        <v>-0.54887306488108101</v>
      </c>
      <c r="M9">
        <v>0.58321840635487066</v>
      </c>
      <c r="N9" t="s">
        <v>43</v>
      </c>
      <c r="O9">
        <v>0</v>
      </c>
      <c r="P9">
        <v>0</v>
      </c>
      <c r="Q9">
        <v>0</v>
      </c>
      <c r="R9">
        <v>0.43775933609958512</v>
      </c>
      <c r="S9">
        <v>0.47975708502024289</v>
      </c>
      <c r="T9">
        <v>-4.1997748920657829E-2</v>
      </c>
      <c r="U9">
        <v>1202242</v>
      </c>
      <c r="V9">
        <v>1302960</v>
      </c>
      <c r="W9">
        <v>-100718</v>
      </c>
      <c r="X9">
        <v>1.5990626724072741</v>
      </c>
      <c r="Y9">
        <v>1.579908983635586</v>
      </c>
    </row>
    <row r="10" spans="1:25" x14ac:dyDescent="0.3">
      <c r="A10" t="s">
        <v>27</v>
      </c>
      <c r="B10">
        <v>477</v>
      </c>
      <c r="C10">
        <v>382</v>
      </c>
      <c r="D10">
        <v>386</v>
      </c>
      <c r="E10">
        <v>768</v>
      </c>
      <c r="F10">
        <v>1.6338687373683649</v>
      </c>
      <c r="G10">
        <v>2295.9581151832458</v>
      </c>
      <c r="H10">
        <v>2532.945595854922</v>
      </c>
      <c r="I10">
        <v>-236.9874806716762</v>
      </c>
      <c r="J10">
        <v>3486.0240486164648</v>
      </c>
      <c r="K10">
        <v>3901.127784940541</v>
      </c>
      <c r="L10">
        <v>-0.88790244687163578</v>
      </c>
      <c r="M10">
        <v>0.37487481772668002</v>
      </c>
      <c r="N10" t="s">
        <v>43</v>
      </c>
      <c r="O10">
        <v>0</v>
      </c>
      <c r="P10">
        <v>0</v>
      </c>
      <c r="Q10">
        <v>0</v>
      </c>
      <c r="R10">
        <v>0.43717277486910988</v>
      </c>
      <c r="S10">
        <v>0.44559585492227982</v>
      </c>
      <c r="T10">
        <v>-8.4230800531698291E-3</v>
      </c>
      <c r="U10">
        <v>877056</v>
      </c>
      <c r="V10">
        <v>977717</v>
      </c>
      <c r="W10">
        <v>-100661</v>
      </c>
      <c r="X10">
        <v>1.5183308552378521</v>
      </c>
      <c r="Y10">
        <v>1.5401545897095461</v>
      </c>
    </row>
    <row r="11" spans="1:25" x14ac:dyDescent="0.3">
      <c r="A11" t="s">
        <v>27</v>
      </c>
      <c r="B11">
        <v>544</v>
      </c>
      <c r="C11">
        <v>377</v>
      </c>
      <c r="D11">
        <v>416</v>
      </c>
      <c r="E11">
        <v>793</v>
      </c>
      <c r="F11">
        <v>1.6870545686629079</v>
      </c>
      <c r="G11">
        <v>2685.856763925729</v>
      </c>
      <c r="H11">
        <v>2710.6201923076919</v>
      </c>
      <c r="I11">
        <v>-24.763428381962971</v>
      </c>
      <c r="J11">
        <v>3883.2685865903072</v>
      </c>
      <c r="K11">
        <v>4712.4754797202731</v>
      </c>
      <c r="L11">
        <v>-8.1035945733157894E-2</v>
      </c>
      <c r="M11">
        <v>0.9354340463643227</v>
      </c>
      <c r="N11" t="s">
        <v>43</v>
      </c>
      <c r="O11">
        <v>0</v>
      </c>
      <c r="P11">
        <v>0</v>
      </c>
      <c r="Q11">
        <v>0</v>
      </c>
      <c r="R11">
        <v>0.48541114058355439</v>
      </c>
      <c r="S11">
        <v>0.44230769230769229</v>
      </c>
      <c r="T11">
        <v>4.31034482758621E-2</v>
      </c>
      <c r="U11">
        <v>1012568</v>
      </c>
      <c r="V11">
        <v>1127618</v>
      </c>
      <c r="W11">
        <v>-115050</v>
      </c>
      <c r="X11">
        <v>1.4458211765970741</v>
      </c>
      <c r="Y11">
        <v>1.738522974592134</v>
      </c>
    </row>
    <row r="12" spans="1:25" x14ac:dyDescent="0.3">
      <c r="A12" t="s">
        <v>27</v>
      </c>
      <c r="B12">
        <v>516</v>
      </c>
      <c r="C12">
        <v>634</v>
      </c>
      <c r="D12">
        <v>636</v>
      </c>
      <c r="E12">
        <v>1270</v>
      </c>
      <c r="F12">
        <v>2.7018402297627908</v>
      </c>
      <c r="G12">
        <v>3294.4589905362782</v>
      </c>
      <c r="H12">
        <v>2924.132075471698</v>
      </c>
      <c r="I12">
        <v>370.32691506457968</v>
      </c>
      <c r="J12">
        <v>4585.7004980217807</v>
      </c>
      <c r="K12">
        <v>3831.666947312483</v>
      </c>
      <c r="L12">
        <v>1.5613992126527969</v>
      </c>
      <c r="M12">
        <v>0.11868727690424111</v>
      </c>
      <c r="N12" t="s">
        <v>43</v>
      </c>
      <c r="O12">
        <v>2308</v>
      </c>
      <c r="P12">
        <v>1873</v>
      </c>
      <c r="Q12">
        <v>435</v>
      </c>
      <c r="R12">
        <v>0.55205047318611988</v>
      </c>
      <c r="S12">
        <v>0.53930817610062898</v>
      </c>
      <c r="T12">
        <v>1.2742297085490909E-2</v>
      </c>
      <c r="U12">
        <v>2088687</v>
      </c>
      <c r="V12">
        <v>1859748</v>
      </c>
      <c r="W12">
        <v>228939</v>
      </c>
      <c r="X12">
        <v>1.391943415047735</v>
      </c>
      <c r="Y12">
        <v>1.310360424364343</v>
      </c>
    </row>
    <row r="13" spans="1:25" x14ac:dyDescent="0.3">
      <c r="A13" t="s">
        <v>27</v>
      </c>
      <c r="B13">
        <v>439</v>
      </c>
      <c r="C13">
        <v>355</v>
      </c>
      <c r="D13">
        <v>351</v>
      </c>
      <c r="E13">
        <v>706</v>
      </c>
      <c r="F13">
        <v>1.501967875757898</v>
      </c>
      <c r="G13">
        <v>2521.0591549295768</v>
      </c>
      <c r="H13">
        <v>2469.8376068376069</v>
      </c>
      <c r="I13">
        <v>51.221548091970362</v>
      </c>
      <c r="J13">
        <v>4161.0795792501276</v>
      </c>
      <c r="K13">
        <v>3791.5553151495551</v>
      </c>
      <c r="L13">
        <v>0.17099476895264579</v>
      </c>
      <c r="M13">
        <v>0.8642773381211124</v>
      </c>
      <c r="N13" t="s">
        <v>43</v>
      </c>
      <c r="O13">
        <v>0</v>
      </c>
      <c r="P13">
        <v>0</v>
      </c>
      <c r="Q13">
        <v>0</v>
      </c>
      <c r="R13">
        <v>0.43943661971830988</v>
      </c>
      <c r="S13">
        <v>0.45868945868945871</v>
      </c>
      <c r="T13">
        <v>-1.9252838971148819E-2</v>
      </c>
      <c r="U13">
        <v>894976</v>
      </c>
      <c r="V13">
        <v>866913</v>
      </c>
      <c r="W13">
        <v>28063</v>
      </c>
      <c r="X13">
        <v>1.650528338898245</v>
      </c>
      <c r="Y13">
        <v>1.535143567598471</v>
      </c>
    </row>
    <row r="14" spans="1:25" x14ac:dyDescent="0.3">
      <c r="A14" t="s">
        <v>28</v>
      </c>
      <c r="B14">
        <v>394</v>
      </c>
      <c r="C14">
        <v>104</v>
      </c>
      <c r="D14">
        <v>85</v>
      </c>
      <c r="E14">
        <v>189</v>
      </c>
      <c r="F14">
        <v>0.40208488458674613</v>
      </c>
      <c r="G14">
        <v>1296.375</v>
      </c>
      <c r="H14">
        <v>973.62352941176471</v>
      </c>
      <c r="I14">
        <v>322.75147058823529</v>
      </c>
      <c r="J14">
        <v>2384.482310090792</v>
      </c>
      <c r="K14">
        <v>1940.8548250244589</v>
      </c>
      <c r="L14">
        <v>1.0258367630794081</v>
      </c>
      <c r="M14">
        <v>0.30629368757776992</v>
      </c>
      <c r="N14" t="s">
        <v>43</v>
      </c>
      <c r="O14">
        <v>0</v>
      </c>
      <c r="P14">
        <v>0</v>
      </c>
      <c r="Q14">
        <v>0</v>
      </c>
      <c r="R14">
        <v>0.31730769230769229</v>
      </c>
      <c r="S14">
        <v>0.2470588235294118</v>
      </c>
      <c r="T14">
        <v>7.0248868778280515E-2</v>
      </c>
      <c r="U14">
        <v>134823</v>
      </c>
      <c r="V14">
        <v>82758</v>
      </c>
      <c r="W14">
        <v>52065</v>
      </c>
      <c r="X14">
        <v>1.8393461074849431</v>
      </c>
      <c r="Y14">
        <v>1.9934345939616589</v>
      </c>
    </row>
    <row r="15" spans="1:25" x14ac:dyDescent="0.3">
      <c r="A15" t="s">
        <v>28</v>
      </c>
      <c r="B15">
        <v>576</v>
      </c>
      <c r="C15">
        <v>630</v>
      </c>
      <c r="D15">
        <v>657</v>
      </c>
      <c r="E15">
        <v>1287</v>
      </c>
      <c r="F15">
        <v>2.738006595043081</v>
      </c>
      <c r="G15">
        <v>1627.484126984127</v>
      </c>
      <c r="H15">
        <v>1357.9741248097409</v>
      </c>
      <c r="I15">
        <v>269.51000217438582</v>
      </c>
      <c r="J15">
        <v>2702.356746074523</v>
      </c>
      <c r="K15">
        <v>2429.7625663637709</v>
      </c>
      <c r="L15">
        <v>1.878789060489223</v>
      </c>
      <c r="M15">
        <v>6.0504447710871267E-2</v>
      </c>
      <c r="N15" t="s">
        <v>43</v>
      </c>
      <c r="O15">
        <v>0</v>
      </c>
      <c r="P15">
        <v>0</v>
      </c>
      <c r="Q15">
        <v>0</v>
      </c>
      <c r="R15">
        <v>0.35238095238095241</v>
      </c>
      <c r="S15">
        <v>0.30898021308980211</v>
      </c>
      <c r="T15">
        <v>4.3400739291150292E-2</v>
      </c>
      <c r="U15">
        <v>1025315</v>
      </c>
      <c r="V15">
        <v>892189</v>
      </c>
      <c r="W15">
        <v>133126</v>
      </c>
      <c r="X15">
        <v>1.660450446962104</v>
      </c>
      <c r="Y15">
        <v>1.7892554224508459</v>
      </c>
    </row>
    <row r="16" spans="1:25" x14ac:dyDescent="0.3">
      <c r="A16" t="s">
        <v>28</v>
      </c>
      <c r="B16">
        <v>309</v>
      </c>
      <c r="C16">
        <v>240</v>
      </c>
      <c r="D16">
        <v>238</v>
      </c>
      <c r="E16">
        <v>478</v>
      </c>
      <c r="F16">
        <v>1.0169130943516651</v>
      </c>
      <c r="G16">
        <v>2720.7375000000002</v>
      </c>
      <c r="H16">
        <v>2451.2142857142858</v>
      </c>
      <c r="I16">
        <v>269.5232142857144</v>
      </c>
      <c r="J16">
        <v>2829.9681315106891</v>
      </c>
      <c r="K16">
        <v>2779.3551145224392</v>
      </c>
      <c r="L16">
        <v>1.050496412103596</v>
      </c>
      <c r="M16">
        <v>0.29402302044037332</v>
      </c>
      <c r="N16" t="s">
        <v>43</v>
      </c>
      <c r="O16">
        <v>2544</v>
      </c>
      <c r="P16">
        <v>2428</v>
      </c>
      <c r="Q16">
        <v>116</v>
      </c>
      <c r="R16">
        <v>0.60833333333333328</v>
      </c>
      <c r="S16">
        <v>0.55462184873949583</v>
      </c>
      <c r="T16">
        <v>5.3711484593837462E-2</v>
      </c>
      <c r="U16">
        <v>652977</v>
      </c>
      <c r="V16">
        <v>583389</v>
      </c>
      <c r="W16">
        <v>69588</v>
      </c>
      <c r="X16">
        <v>1.040147434844666</v>
      </c>
      <c r="Y16">
        <v>1.1338686832565239</v>
      </c>
    </row>
    <row r="17" spans="1:25" x14ac:dyDescent="0.3">
      <c r="A17" t="s">
        <v>29</v>
      </c>
      <c r="B17">
        <v>6543</v>
      </c>
      <c r="C17">
        <v>662</v>
      </c>
      <c r="D17">
        <v>689</v>
      </c>
      <c r="E17">
        <v>1351</v>
      </c>
      <c r="F17">
        <v>2.874162323157111</v>
      </c>
      <c r="G17">
        <v>1757.419939577039</v>
      </c>
      <c r="H17">
        <v>1568.615384615385</v>
      </c>
      <c r="I17">
        <v>188.8045549616547</v>
      </c>
      <c r="J17">
        <v>2486.3291624135431</v>
      </c>
      <c r="K17">
        <v>2341.7382342953392</v>
      </c>
      <c r="L17">
        <v>1.435574904942146</v>
      </c>
      <c r="M17">
        <v>0.15135746779558601</v>
      </c>
      <c r="N17" t="s">
        <v>43</v>
      </c>
      <c r="O17">
        <v>0</v>
      </c>
      <c r="P17">
        <v>0</v>
      </c>
      <c r="Q17">
        <v>0</v>
      </c>
      <c r="R17">
        <v>0.42447129909365561</v>
      </c>
      <c r="S17">
        <v>0.409288824383164</v>
      </c>
      <c r="T17">
        <v>1.518247471049161E-2</v>
      </c>
      <c r="U17">
        <v>1163412</v>
      </c>
      <c r="V17">
        <v>1080776</v>
      </c>
      <c r="W17">
        <v>82636</v>
      </c>
      <c r="X17">
        <v>1.4147609836564909</v>
      </c>
      <c r="Y17">
        <v>1.492869607975648</v>
      </c>
    </row>
    <row r="18" spans="1:25" x14ac:dyDescent="0.3">
      <c r="A18" t="s">
        <v>29</v>
      </c>
      <c r="B18">
        <v>3987</v>
      </c>
      <c r="C18">
        <v>801</v>
      </c>
      <c r="D18">
        <v>785</v>
      </c>
      <c r="E18">
        <v>1586</v>
      </c>
      <c r="F18">
        <v>3.3741091373258159</v>
      </c>
      <c r="G18">
        <v>1633.3196004993761</v>
      </c>
      <c r="H18">
        <v>1670.8</v>
      </c>
      <c r="I18">
        <v>-37.480399500624117</v>
      </c>
      <c r="J18">
        <v>2548.604316626625</v>
      </c>
      <c r="K18">
        <v>2687.2361340801772</v>
      </c>
      <c r="L18">
        <v>-0.28489132541498541</v>
      </c>
      <c r="M18">
        <v>0.77576484303291027</v>
      </c>
      <c r="N18" t="s">
        <v>43</v>
      </c>
      <c r="O18">
        <v>0</v>
      </c>
      <c r="P18">
        <v>0</v>
      </c>
      <c r="Q18">
        <v>0</v>
      </c>
      <c r="R18">
        <v>0.38826466916354557</v>
      </c>
      <c r="S18">
        <v>0.40382165605095538</v>
      </c>
      <c r="T18">
        <v>-1.5556986887409859E-2</v>
      </c>
      <c r="U18">
        <v>1308289</v>
      </c>
      <c r="V18">
        <v>1311578</v>
      </c>
      <c r="W18">
        <v>-3289</v>
      </c>
      <c r="X18">
        <v>1.56038310925027</v>
      </c>
      <c r="Y18">
        <v>1.6083529650946711</v>
      </c>
    </row>
    <row r="19" spans="1:25" x14ac:dyDescent="0.3">
      <c r="A19" t="s">
        <v>29</v>
      </c>
      <c r="B19">
        <v>8543</v>
      </c>
      <c r="C19">
        <v>148</v>
      </c>
      <c r="D19">
        <v>140</v>
      </c>
      <c r="E19">
        <v>288</v>
      </c>
      <c r="F19">
        <v>0.61270077651313692</v>
      </c>
      <c r="G19">
        <v>1859.7770270270271</v>
      </c>
      <c r="H19">
        <v>1853.8214285714289</v>
      </c>
      <c r="I19">
        <v>5.9555984555984196</v>
      </c>
      <c r="J19">
        <v>2568.9804293811749</v>
      </c>
      <c r="K19">
        <v>3049.1247388256852</v>
      </c>
      <c r="L19">
        <v>1.7875687320310089E-2</v>
      </c>
      <c r="M19">
        <v>0.98575111701597196</v>
      </c>
      <c r="N19" t="s">
        <v>43</v>
      </c>
      <c r="O19">
        <v>0</v>
      </c>
      <c r="P19">
        <v>0</v>
      </c>
      <c r="Q19">
        <v>0</v>
      </c>
      <c r="R19">
        <v>0.44594594594594589</v>
      </c>
      <c r="S19">
        <v>0.37857142857142861</v>
      </c>
      <c r="T19">
        <v>6.7374517374517384E-2</v>
      </c>
      <c r="U19">
        <v>275247</v>
      </c>
      <c r="V19">
        <v>259535</v>
      </c>
      <c r="W19">
        <v>15712</v>
      </c>
      <c r="X19">
        <v>1.381337865802039</v>
      </c>
      <c r="Y19">
        <v>1.644778020057394</v>
      </c>
    </row>
    <row r="20" spans="1:25" x14ac:dyDescent="0.3">
      <c r="A20" t="s">
        <v>29</v>
      </c>
      <c r="B20">
        <v>2212</v>
      </c>
      <c r="C20">
        <v>422</v>
      </c>
      <c r="D20">
        <v>397</v>
      </c>
      <c r="E20">
        <v>819</v>
      </c>
      <c r="F20">
        <v>1.7423678332092329</v>
      </c>
      <c r="G20">
        <v>2851.9052132701422</v>
      </c>
      <c r="H20">
        <v>2826.7682619647348</v>
      </c>
      <c r="I20">
        <v>25.13695130540691</v>
      </c>
      <c r="J20">
        <v>3194.8953176523069</v>
      </c>
      <c r="K20">
        <v>2476.5025429326261</v>
      </c>
      <c r="L20">
        <v>0.1262596412891325</v>
      </c>
      <c r="M20">
        <v>0.89955858748748652</v>
      </c>
      <c r="N20" t="s">
        <v>43</v>
      </c>
      <c r="O20">
        <v>2773</v>
      </c>
      <c r="P20">
        <v>2961</v>
      </c>
      <c r="Q20">
        <v>-188</v>
      </c>
      <c r="R20">
        <v>0.65876777251184837</v>
      </c>
      <c r="S20">
        <v>0.70780856423173799</v>
      </c>
      <c r="T20">
        <v>-4.904079171988962E-2</v>
      </c>
      <c r="U20">
        <v>1203504</v>
      </c>
      <c r="V20">
        <v>1122227</v>
      </c>
      <c r="W20">
        <v>81277</v>
      </c>
      <c r="X20">
        <v>1.1202670070471501</v>
      </c>
      <c r="Y20">
        <v>0.87608969445954576</v>
      </c>
    </row>
    <row r="21" spans="1:25" x14ac:dyDescent="0.3">
      <c r="A21" t="s">
        <v>29</v>
      </c>
      <c r="B21">
        <v>9121</v>
      </c>
      <c r="C21">
        <v>131</v>
      </c>
      <c r="D21">
        <v>108</v>
      </c>
      <c r="E21">
        <v>239</v>
      </c>
      <c r="F21">
        <v>0.50845654717583233</v>
      </c>
      <c r="G21">
        <v>2003.343511450382</v>
      </c>
      <c r="H21">
        <v>1889.0740740740739</v>
      </c>
      <c r="I21">
        <v>114.26943737630749</v>
      </c>
      <c r="J21">
        <v>2650.5649057424962</v>
      </c>
      <c r="K21">
        <v>2522.730395557036</v>
      </c>
      <c r="L21">
        <v>0.34059903991159968</v>
      </c>
      <c r="M21">
        <v>0.73371349110783424</v>
      </c>
      <c r="N21" t="s">
        <v>43</v>
      </c>
      <c r="O21">
        <v>0</v>
      </c>
      <c r="P21">
        <v>0</v>
      </c>
      <c r="Q21">
        <v>0</v>
      </c>
      <c r="R21">
        <v>0.44274809160305351</v>
      </c>
      <c r="S21">
        <v>0.49074074074074081</v>
      </c>
      <c r="T21">
        <v>-4.7992649137687297E-2</v>
      </c>
      <c r="U21">
        <v>262438</v>
      </c>
      <c r="V21">
        <v>204020</v>
      </c>
      <c r="W21">
        <v>58418</v>
      </c>
      <c r="X21">
        <v>1.323070602017494</v>
      </c>
      <c r="Y21">
        <v>1.335432225860993</v>
      </c>
    </row>
    <row r="22" spans="1:25" x14ac:dyDescent="0.3">
      <c r="A22" t="s">
        <v>29</v>
      </c>
      <c r="B22">
        <v>3786</v>
      </c>
      <c r="C22">
        <v>237</v>
      </c>
      <c r="D22">
        <v>278</v>
      </c>
      <c r="E22">
        <v>515</v>
      </c>
      <c r="F22">
        <v>1.095628124667589</v>
      </c>
      <c r="G22">
        <v>2709.8649789029541</v>
      </c>
      <c r="H22">
        <v>2763.1223021582732</v>
      </c>
      <c r="I22">
        <v>-53.257323255319527</v>
      </c>
      <c r="J22">
        <v>2754.9136130903162</v>
      </c>
      <c r="K22">
        <v>3299.4400311695558</v>
      </c>
      <c r="L22">
        <v>-0.1996143941938042</v>
      </c>
      <c r="M22">
        <v>0.84186129964620016</v>
      </c>
      <c r="N22" t="s">
        <v>43</v>
      </c>
      <c r="O22">
        <v>2636</v>
      </c>
      <c r="P22">
        <v>2745.5</v>
      </c>
      <c r="Q22">
        <v>-109.5</v>
      </c>
      <c r="R22">
        <v>0.65822784810126578</v>
      </c>
      <c r="S22">
        <v>0.64388489208633093</v>
      </c>
      <c r="T22">
        <v>1.4342956014934851E-2</v>
      </c>
      <c r="U22">
        <v>642238</v>
      </c>
      <c r="V22">
        <v>768148</v>
      </c>
      <c r="W22">
        <v>-125910</v>
      </c>
      <c r="X22">
        <v>1.0166239405055519</v>
      </c>
      <c r="Y22">
        <v>1.1940984402291439</v>
      </c>
    </row>
    <row r="23" spans="1:25" x14ac:dyDescent="0.3">
      <c r="A23" t="s">
        <v>30</v>
      </c>
      <c r="B23">
        <v>46</v>
      </c>
      <c r="C23">
        <v>557</v>
      </c>
      <c r="D23">
        <v>529</v>
      </c>
      <c r="E23">
        <v>1086</v>
      </c>
      <c r="F23">
        <v>2.3103925114349542</v>
      </c>
      <c r="G23">
        <v>2367.3249551166959</v>
      </c>
      <c r="H23">
        <v>2398.370510396976</v>
      </c>
      <c r="I23">
        <v>-31.045555280279132</v>
      </c>
      <c r="J23">
        <v>2517.929274476277</v>
      </c>
      <c r="K23">
        <v>2772.1264153104571</v>
      </c>
      <c r="L23">
        <v>-0.19287358139278049</v>
      </c>
      <c r="M23">
        <v>0.847094887812466</v>
      </c>
      <c r="N23" t="s">
        <v>43</v>
      </c>
      <c r="O23">
        <v>3470</v>
      </c>
      <c r="P23">
        <v>1970</v>
      </c>
      <c r="Q23">
        <v>1500</v>
      </c>
      <c r="R23">
        <v>0.54219030520646316</v>
      </c>
      <c r="S23">
        <v>0.55765595463137996</v>
      </c>
      <c r="T23">
        <v>-1.5465649424916791E-2</v>
      </c>
      <c r="U23">
        <v>1318600</v>
      </c>
      <c r="V23">
        <v>1268738</v>
      </c>
      <c r="W23">
        <v>49862</v>
      </c>
      <c r="X23">
        <v>1.0636179325673341</v>
      </c>
      <c r="Y23">
        <v>1.155837433496302</v>
      </c>
    </row>
    <row r="24" spans="1:25" x14ac:dyDescent="0.3">
      <c r="A24" t="s">
        <v>31</v>
      </c>
      <c r="B24">
        <v>80</v>
      </c>
      <c r="C24">
        <v>844</v>
      </c>
      <c r="D24">
        <v>880</v>
      </c>
      <c r="E24">
        <v>1724</v>
      </c>
      <c r="F24">
        <v>3.6676949260716949</v>
      </c>
      <c r="G24">
        <v>2595.4466824644551</v>
      </c>
      <c r="H24">
        <v>2551.4045454545449</v>
      </c>
      <c r="I24">
        <v>44.042137009909773</v>
      </c>
      <c r="J24">
        <v>2799.9876818490138</v>
      </c>
      <c r="K24">
        <v>2836.7956048565711</v>
      </c>
      <c r="L24">
        <v>0.3243851280756056</v>
      </c>
      <c r="M24">
        <v>0.74568590824210923</v>
      </c>
      <c r="N24" t="s">
        <v>43</v>
      </c>
      <c r="O24">
        <v>2366.5</v>
      </c>
      <c r="P24">
        <v>2248</v>
      </c>
      <c r="Q24">
        <v>118.5</v>
      </c>
      <c r="R24">
        <v>0.60071090047393361</v>
      </c>
      <c r="S24">
        <v>0.57613636363636367</v>
      </c>
      <c r="T24">
        <v>2.4574536837569941E-2</v>
      </c>
      <c r="U24">
        <v>2190557</v>
      </c>
      <c r="V24">
        <v>2245236</v>
      </c>
      <c r="W24">
        <v>-54679</v>
      </c>
      <c r="X24">
        <v>1.078807629055335</v>
      </c>
      <c r="Y24">
        <v>1.1118564517377161</v>
      </c>
    </row>
    <row r="25" spans="1:25" x14ac:dyDescent="0.3">
      <c r="A25" t="s">
        <v>31</v>
      </c>
      <c r="B25">
        <v>82</v>
      </c>
      <c r="C25">
        <v>169</v>
      </c>
      <c r="D25">
        <v>229</v>
      </c>
      <c r="E25">
        <v>398</v>
      </c>
      <c r="F25">
        <v>0.84671843420912674</v>
      </c>
      <c r="G25">
        <v>2606.544378698225</v>
      </c>
      <c r="H25">
        <v>2670.8253275109168</v>
      </c>
      <c r="I25">
        <v>-64.280948812691804</v>
      </c>
      <c r="J25">
        <v>2669.7805776580649</v>
      </c>
      <c r="K25">
        <v>2924.5370596412931</v>
      </c>
      <c r="L25">
        <v>-0.22794535162775681</v>
      </c>
      <c r="M25">
        <v>0.81981179514703606</v>
      </c>
      <c r="N25" t="s">
        <v>43</v>
      </c>
      <c r="O25">
        <v>2524</v>
      </c>
      <c r="P25">
        <v>2441</v>
      </c>
      <c r="Q25">
        <v>83</v>
      </c>
      <c r="R25">
        <v>0.62130177514792895</v>
      </c>
      <c r="S25">
        <v>0.59825327510917026</v>
      </c>
      <c r="T25">
        <v>2.304850003875869E-2</v>
      </c>
      <c r="U25">
        <v>440506</v>
      </c>
      <c r="V25">
        <v>611619</v>
      </c>
      <c r="W25">
        <v>-171113</v>
      </c>
      <c r="X25">
        <v>1.024260549513998</v>
      </c>
      <c r="Y25">
        <v>1.0949937569922721</v>
      </c>
    </row>
    <row r="26" spans="1:25" x14ac:dyDescent="0.3">
      <c r="A26" t="s">
        <v>32</v>
      </c>
      <c r="B26">
        <v>88</v>
      </c>
      <c r="C26">
        <v>190</v>
      </c>
      <c r="D26">
        <v>167</v>
      </c>
      <c r="E26">
        <v>357</v>
      </c>
      <c r="F26">
        <v>0.75949367088607589</v>
      </c>
      <c r="G26">
        <v>2993.726315789474</v>
      </c>
      <c r="H26">
        <v>2439.4610778443121</v>
      </c>
      <c r="I26">
        <v>554.26523794516197</v>
      </c>
      <c r="J26">
        <v>3100.0396462462431</v>
      </c>
      <c r="K26">
        <v>2689.3430530913829</v>
      </c>
      <c r="L26">
        <v>1.8088820073322911</v>
      </c>
      <c r="M26">
        <v>7.1315348863462399E-2</v>
      </c>
      <c r="N26" t="s">
        <v>43</v>
      </c>
      <c r="O26">
        <v>2536</v>
      </c>
      <c r="P26">
        <v>1820</v>
      </c>
      <c r="Q26">
        <v>716</v>
      </c>
      <c r="R26">
        <v>0.65789473684210531</v>
      </c>
      <c r="S26">
        <v>0.58083832335329344</v>
      </c>
      <c r="T26">
        <v>7.705641348881187E-2</v>
      </c>
      <c r="U26">
        <v>568808</v>
      </c>
      <c r="V26">
        <v>407390</v>
      </c>
      <c r="W26">
        <v>161418</v>
      </c>
      <c r="X26">
        <v>1.0355120405950451</v>
      </c>
      <c r="Y26">
        <v>1.1024332700023589</v>
      </c>
    </row>
    <row r="27" spans="1:25" x14ac:dyDescent="0.3">
      <c r="A27" t="s">
        <v>33</v>
      </c>
      <c r="B27">
        <v>19</v>
      </c>
      <c r="C27">
        <v>130</v>
      </c>
      <c r="D27">
        <v>146</v>
      </c>
      <c r="E27">
        <v>276</v>
      </c>
      <c r="F27">
        <v>0.58717157749175619</v>
      </c>
      <c r="G27">
        <v>2070.5153846153839</v>
      </c>
      <c r="H27">
        <v>1790.91095890411</v>
      </c>
      <c r="I27">
        <v>279.60442571127493</v>
      </c>
      <c r="J27">
        <v>2438.7158211547799</v>
      </c>
      <c r="K27">
        <v>2918.9266447676009</v>
      </c>
      <c r="L27">
        <v>0.86657582931211119</v>
      </c>
      <c r="M27">
        <v>0.38693565729864549</v>
      </c>
      <c r="N27" t="s">
        <v>43</v>
      </c>
      <c r="O27">
        <v>1072.5</v>
      </c>
      <c r="P27">
        <v>0</v>
      </c>
      <c r="Q27">
        <v>1072.5</v>
      </c>
      <c r="R27">
        <v>0.53076923076923077</v>
      </c>
      <c r="S27">
        <v>0.38356164383561642</v>
      </c>
      <c r="T27">
        <v>0.14720758693361441</v>
      </c>
      <c r="U27">
        <v>269167</v>
      </c>
      <c r="V27">
        <v>261473</v>
      </c>
      <c r="W27">
        <v>7694</v>
      </c>
      <c r="X27">
        <v>1.17783033117032</v>
      </c>
      <c r="Y27">
        <v>1.6298558173733799</v>
      </c>
    </row>
    <row r="28" spans="1:25" x14ac:dyDescent="0.3">
      <c r="A28" t="s">
        <v>34</v>
      </c>
      <c r="B28">
        <v>66</v>
      </c>
      <c r="C28">
        <v>657</v>
      </c>
      <c r="D28">
        <v>703</v>
      </c>
      <c r="E28">
        <v>1360</v>
      </c>
      <c r="F28">
        <v>2.893309222423146</v>
      </c>
      <c r="G28">
        <v>2362.8127853881278</v>
      </c>
      <c r="H28">
        <v>2646.1849217638692</v>
      </c>
      <c r="I28">
        <v>-283.37213637574132</v>
      </c>
      <c r="J28">
        <v>2724.9980627573782</v>
      </c>
      <c r="K28">
        <v>2831.807532341868</v>
      </c>
      <c r="L28">
        <v>-1.8804208002785869</v>
      </c>
      <c r="M28">
        <v>6.0264804072985109E-2</v>
      </c>
      <c r="N28" t="s">
        <v>43</v>
      </c>
      <c r="O28">
        <v>1796</v>
      </c>
      <c r="P28">
        <v>2289</v>
      </c>
      <c r="Q28">
        <v>-493</v>
      </c>
      <c r="R28">
        <v>0.56468797564687978</v>
      </c>
      <c r="S28">
        <v>0.60455192034139404</v>
      </c>
      <c r="T28">
        <v>-3.9863944694514257E-2</v>
      </c>
      <c r="U28">
        <v>1552368</v>
      </c>
      <c r="V28">
        <v>1860268</v>
      </c>
      <c r="W28">
        <v>-307900</v>
      </c>
      <c r="X28">
        <v>1.15328564311529</v>
      </c>
      <c r="Y28">
        <v>1.0701472557912799</v>
      </c>
    </row>
    <row r="29" spans="1:25" x14ac:dyDescent="0.3">
      <c r="A29" t="s">
        <v>35</v>
      </c>
      <c r="B29">
        <v>72</v>
      </c>
      <c r="C29">
        <v>609</v>
      </c>
      <c r="D29">
        <v>639</v>
      </c>
      <c r="E29">
        <v>1248</v>
      </c>
      <c r="F29">
        <v>2.655036698223594</v>
      </c>
      <c r="G29">
        <v>2445.5057471264372</v>
      </c>
      <c r="H29">
        <v>2566.8184663536781</v>
      </c>
      <c r="I29">
        <v>-121.3127192272409</v>
      </c>
      <c r="J29">
        <v>2910.9699432056191</v>
      </c>
      <c r="K29">
        <v>2826.0434788628631</v>
      </c>
      <c r="L29">
        <v>-0.74644913068045438</v>
      </c>
      <c r="M29">
        <v>0.45553781254794917</v>
      </c>
      <c r="N29" t="s">
        <v>43</v>
      </c>
      <c r="O29">
        <v>1775</v>
      </c>
      <c r="P29">
        <v>2344</v>
      </c>
      <c r="Q29">
        <v>-569</v>
      </c>
      <c r="R29">
        <v>0.5451559934318555</v>
      </c>
      <c r="S29">
        <v>0.57746478873239437</v>
      </c>
      <c r="T29">
        <v>-3.2308795300538873E-2</v>
      </c>
      <c r="U29">
        <v>1489313</v>
      </c>
      <c r="V29">
        <v>1640197</v>
      </c>
      <c r="W29">
        <v>-150884</v>
      </c>
      <c r="X29">
        <v>1.19033453371603</v>
      </c>
      <c r="Y29">
        <v>1.100990785249192</v>
      </c>
    </row>
    <row r="30" spans="1:25" x14ac:dyDescent="0.3">
      <c r="A30" t="s">
        <v>35</v>
      </c>
      <c r="B30">
        <v>73</v>
      </c>
      <c r="C30">
        <v>187</v>
      </c>
      <c r="D30">
        <v>167</v>
      </c>
      <c r="E30">
        <v>354</v>
      </c>
      <c r="F30">
        <v>0.75311137113073079</v>
      </c>
      <c r="G30">
        <v>2110.7379679144378</v>
      </c>
      <c r="H30">
        <v>2584.2934131736529</v>
      </c>
      <c r="I30">
        <v>-473.55544525921459</v>
      </c>
      <c r="J30">
        <v>2527.5712663026652</v>
      </c>
      <c r="K30">
        <v>2857.5614410356452</v>
      </c>
      <c r="L30">
        <v>-1.643142367542952</v>
      </c>
      <c r="M30">
        <v>0.1012955021097436</v>
      </c>
      <c r="N30" t="s">
        <v>43</v>
      </c>
      <c r="O30">
        <v>725</v>
      </c>
      <c r="P30">
        <v>2249</v>
      </c>
      <c r="Q30">
        <v>-1524</v>
      </c>
      <c r="R30">
        <v>0.5133689839572193</v>
      </c>
      <c r="S30">
        <v>0.60479041916167664</v>
      </c>
      <c r="T30">
        <v>-9.1421435204457335E-2</v>
      </c>
      <c r="U30">
        <v>394708</v>
      </c>
      <c r="V30">
        <v>431577</v>
      </c>
      <c r="W30">
        <v>-36869</v>
      </c>
      <c r="X30">
        <v>1.1974822572600461</v>
      </c>
      <c r="Y30">
        <v>1.105741873762857</v>
      </c>
    </row>
    <row r="31" spans="1:25" x14ac:dyDescent="0.3">
      <c r="A31" t="s">
        <v>38</v>
      </c>
      <c r="B31">
        <v>1989</v>
      </c>
      <c r="C31">
        <v>239</v>
      </c>
      <c r="D31">
        <v>270</v>
      </c>
      <c r="E31">
        <v>509</v>
      </c>
      <c r="F31">
        <v>1.0828635251568981</v>
      </c>
      <c r="G31">
        <v>4479.9790794979081</v>
      </c>
      <c r="H31">
        <v>4228.2185185185181</v>
      </c>
      <c r="I31">
        <v>251.76056097938999</v>
      </c>
      <c r="J31">
        <v>2713.6843268167559</v>
      </c>
      <c r="K31">
        <v>2443.6710409818088</v>
      </c>
      <c r="L31">
        <v>1.0943129580191699</v>
      </c>
      <c r="M31">
        <v>0.27436385055044321</v>
      </c>
      <c r="N31" t="s">
        <v>43</v>
      </c>
      <c r="O31">
        <v>3860</v>
      </c>
      <c r="P31">
        <v>3786</v>
      </c>
      <c r="Q31">
        <v>74</v>
      </c>
      <c r="R31">
        <v>0.9874476987447699</v>
      </c>
      <c r="S31">
        <v>0.97777777777777775</v>
      </c>
      <c r="T31">
        <v>9.6699209669921515E-3</v>
      </c>
      <c r="U31">
        <v>1070715</v>
      </c>
      <c r="V31">
        <v>1141619</v>
      </c>
      <c r="W31">
        <v>-70904</v>
      </c>
      <c r="X31">
        <v>0.6057359373028347</v>
      </c>
      <c r="Y31">
        <v>0.57794341287687789</v>
      </c>
    </row>
    <row r="32" spans="1:25" x14ac:dyDescent="0.3">
      <c r="A32" t="s">
        <v>39</v>
      </c>
      <c r="B32">
        <v>26</v>
      </c>
      <c r="C32">
        <v>239</v>
      </c>
      <c r="D32">
        <v>195</v>
      </c>
      <c r="E32">
        <v>434</v>
      </c>
      <c r="F32">
        <v>0.92330603127326882</v>
      </c>
      <c r="G32">
        <v>3092.510460251046</v>
      </c>
      <c r="H32">
        <v>3025.1282051282051</v>
      </c>
      <c r="I32">
        <v>67.382255122840888</v>
      </c>
      <c r="J32">
        <v>2801.8639457097611</v>
      </c>
      <c r="K32">
        <v>2586.5903917344071</v>
      </c>
      <c r="L32">
        <v>0.26001582728272132</v>
      </c>
      <c r="M32">
        <v>0.79497735592018937</v>
      </c>
      <c r="N32" t="s">
        <v>43</v>
      </c>
      <c r="O32">
        <v>3470</v>
      </c>
      <c r="P32">
        <v>3470</v>
      </c>
      <c r="Q32">
        <v>0</v>
      </c>
      <c r="R32">
        <v>0.69037656903765687</v>
      </c>
      <c r="S32">
        <v>0.67692307692307696</v>
      </c>
      <c r="T32">
        <v>1.3453492114579911E-2</v>
      </c>
      <c r="U32">
        <v>739110</v>
      </c>
      <c r="V32">
        <v>589900</v>
      </c>
      <c r="W32">
        <v>149210</v>
      </c>
      <c r="X32">
        <v>0.9060159962991069</v>
      </c>
      <c r="Y32">
        <v>0.85503496590644079</v>
      </c>
    </row>
    <row r="33" spans="1:25" x14ac:dyDescent="0.3">
      <c r="A33" t="s">
        <v>40</v>
      </c>
      <c r="B33">
        <v>69</v>
      </c>
      <c r="C33">
        <v>75</v>
      </c>
      <c r="D33">
        <v>78</v>
      </c>
      <c r="E33">
        <v>153</v>
      </c>
      <c r="F33">
        <v>0.32549728752260398</v>
      </c>
      <c r="G33">
        <v>1171.4533333333329</v>
      </c>
      <c r="H33">
        <v>733.61538461538464</v>
      </c>
      <c r="I33">
        <v>437.83794871794868</v>
      </c>
      <c r="J33">
        <v>2578.1041027632468</v>
      </c>
      <c r="K33">
        <v>2055.0310657794639</v>
      </c>
      <c r="L33">
        <v>1.158785745586266</v>
      </c>
      <c r="M33">
        <v>0.24849761042822749</v>
      </c>
      <c r="N33" t="s">
        <v>43</v>
      </c>
      <c r="O33">
        <v>0</v>
      </c>
      <c r="P33">
        <v>0</v>
      </c>
      <c r="Q33">
        <v>0</v>
      </c>
      <c r="R33">
        <v>0.21333333333333329</v>
      </c>
      <c r="S33">
        <v>0.15384615384615391</v>
      </c>
      <c r="T33">
        <v>5.9487179487179492E-2</v>
      </c>
      <c r="U33">
        <v>87859</v>
      </c>
      <c r="V33">
        <v>57222</v>
      </c>
      <c r="W33">
        <v>30637</v>
      </c>
      <c r="X33">
        <v>2.20077405510242</v>
      </c>
      <c r="Y33">
        <v>2.801237690587504</v>
      </c>
    </row>
    <row r="34" spans="1:25" x14ac:dyDescent="0.3">
      <c r="A34" t="s">
        <v>41</v>
      </c>
      <c r="B34">
        <v>1</v>
      </c>
      <c r="C34">
        <v>93</v>
      </c>
      <c r="D34">
        <v>74</v>
      </c>
      <c r="E34">
        <v>167</v>
      </c>
      <c r="F34">
        <v>0.35528135304754821</v>
      </c>
      <c r="G34">
        <v>970.10752688172045</v>
      </c>
      <c r="H34">
        <v>844.05405405405406</v>
      </c>
      <c r="I34">
        <v>126.0534728276664</v>
      </c>
      <c r="J34">
        <v>1799.1111903572889</v>
      </c>
      <c r="K34">
        <v>1799.017935231529</v>
      </c>
      <c r="L34">
        <v>0.44978860122255537</v>
      </c>
      <c r="M34">
        <v>0.65348452074940855</v>
      </c>
      <c r="N34" t="s">
        <v>43</v>
      </c>
      <c r="O34">
        <v>0</v>
      </c>
      <c r="P34">
        <v>0</v>
      </c>
      <c r="Q34">
        <v>0</v>
      </c>
      <c r="R34">
        <v>0.24731182795698919</v>
      </c>
      <c r="S34">
        <v>0.20270270270270269</v>
      </c>
      <c r="T34">
        <v>4.4609125254286543E-2</v>
      </c>
      <c r="U34">
        <v>90220</v>
      </c>
      <c r="V34">
        <v>62460</v>
      </c>
      <c r="W34">
        <v>27760</v>
      </c>
      <c r="X34">
        <v>1.8545482232678769</v>
      </c>
      <c r="Y34">
        <v>2.1314013321667171</v>
      </c>
    </row>
    <row r="35" spans="1:25" x14ac:dyDescent="0.3">
      <c r="A35" t="s">
        <v>42</v>
      </c>
      <c r="B35">
        <v>2</v>
      </c>
      <c r="C35">
        <v>78</v>
      </c>
      <c r="D35">
        <v>71</v>
      </c>
      <c r="E35">
        <v>149</v>
      </c>
      <c r="F35">
        <v>0.31698755451547711</v>
      </c>
      <c r="G35">
        <v>579.33333333333337</v>
      </c>
      <c r="H35">
        <v>483.45070422535213</v>
      </c>
      <c r="I35">
        <v>95.882629107981245</v>
      </c>
      <c r="J35">
        <v>1860.7624304329711</v>
      </c>
      <c r="K35">
        <v>1654.923181546782</v>
      </c>
      <c r="L35">
        <v>0.33288475854446581</v>
      </c>
      <c r="M35">
        <v>0.73969578830356453</v>
      </c>
      <c r="N35" t="s">
        <v>43</v>
      </c>
      <c r="O35">
        <v>0</v>
      </c>
      <c r="P35">
        <v>0</v>
      </c>
      <c r="Q35">
        <v>0</v>
      </c>
      <c r="R35">
        <v>0.1153846153846154</v>
      </c>
      <c r="S35">
        <v>9.8591549295774641E-2</v>
      </c>
      <c r="T35">
        <v>1.679306608884075E-2</v>
      </c>
      <c r="U35">
        <v>45188</v>
      </c>
      <c r="V35">
        <v>34325</v>
      </c>
      <c r="W35">
        <v>10863</v>
      </c>
      <c r="X35">
        <v>3.2119029294009862</v>
      </c>
      <c r="Y35">
        <v>3.423147731677247</v>
      </c>
    </row>
    <row r="38" spans="1:25" x14ac:dyDescent="0.3">
      <c r="A38" s="5" t="s">
        <v>59</v>
      </c>
      <c r="B38" s="6"/>
      <c r="C38" s="6"/>
      <c r="D38" s="6"/>
      <c r="E38" s="7"/>
      <c r="F38" s="6"/>
      <c r="G38" s="6"/>
      <c r="H38" s="7"/>
    </row>
    <row r="40" spans="1:25" ht="38.4" customHeight="1" x14ac:dyDescent="0.3">
      <c r="A40" s="14" t="s">
        <v>55</v>
      </c>
      <c r="B40" s="15" t="s">
        <v>58</v>
      </c>
    </row>
    <row r="41" spans="1:25" x14ac:dyDescent="0.3">
      <c r="A41" s="8">
        <v>212</v>
      </c>
      <c r="B41" s="19">
        <f>(16*(IF(J2&lt;=K2,J2,K2))^2)/Итог!$B$3^2</f>
        <v>117.36518638539653</v>
      </c>
      <c r="E41" s="18"/>
    </row>
    <row r="42" spans="1:25" x14ac:dyDescent="0.3">
      <c r="A42" s="8">
        <v>278</v>
      </c>
      <c r="B42" s="19">
        <f>(16*(IF(J3&lt;=K3,J3,K3))^2)/Итог!$B$3^2</f>
        <v>109.46659045492659</v>
      </c>
    </row>
    <row r="43" spans="1:25" x14ac:dyDescent="0.3">
      <c r="A43" s="8">
        <v>202</v>
      </c>
      <c r="B43" s="19">
        <f>(16*(IF(J4&lt;=K4,J4,K4))^2)/Итог!$B$3^2</f>
        <v>119.6999143063577</v>
      </c>
    </row>
    <row r="44" spans="1:25" x14ac:dyDescent="0.3">
      <c r="A44" s="8">
        <v>444</v>
      </c>
      <c r="B44" s="19">
        <f>(16*(IF(J5&lt;=K5,J5,K5))^2)/Итог!$B$3^2</f>
        <v>126.91863574669699</v>
      </c>
    </row>
    <row r="45" spans="1:25" x14ac:dyDescent="0.3">
      <c r="A45" s="8">
        <v>277</v>
      </c>
      <c r="B45" s="19">
        <f>(16*(IF(J6&lt;=K6,J6,K6))^2)/Итог!$B$3^2</f>
        <v>119.1432930291914</v>
      </c>
    </row>
    <row r="46" spans="1:25" x14ac:dyDescent="0.3">
      <c r="A46" s="8">
        <v>54</v>
      </c>
      <c r="B46" s="19">
        <f>(16*(IF(J7&lt;=K7,J7,K7))^2)/Итог!$B$3^2</f>
        <v>106.87587775343394</v>
      </c>
    </row>
    <row r="47" spans="1:25" x14ac:dyDescent="0.3">
      <c r="A47" s="8">
        <v>55</v>
      </c>
      <c r="B47" s="19">
        <f>(16*(IF(J8&lt;=K8,J8,K8))^2)/Итог!$B$3^2</f>
        <v>124.83036618090476</v>
      </c>
    </row>
    <row r="48" spans="1:25" x14ac:dyDescent="0.3">
      <c r="A48" s="8">
        <v>699</v>
      </c>
      <c r="B48" s="19">
        <f>(16*(IF(J9&lt;=K9,J9,K9))^2)/Итог!$B$3^2</f>
        <v>254.53099125977067</v>
      </c>
    </row>
    <row r="49" spans="1:2" x14ac:dyDescent="0.3">
      <c r="A49" s="8">
        <v>477</v>
      </c>
      <c r="B49" s="19">
        <f>(16*(IF(J10&lt;=K10,J10,K10))^2)/Итог!$B$3^2</f>
        <v>194.43781868051727</v>
      </c>
    </row>
    <row r="50" spans="1:2" x14ac:dyDescent="0.3">
      <c r="A50" s="8">
        <v>544</v>
      </c>
      <c r="B50" s="19">
        <f>(16*(IF(J11&lt;=K11,J11,K11))^2)/Итог!$B$3^2</f>
        <v>241.2763986495853</v>
      </c>
    </row>
    <row r="51" spans="1:2" x14ac:dyDescent="0.3">
      <c r="A51" s="8">
        <v>516</v>
      </c>
      <c r="B51" s="19">
        <f>(16*(IF(J12&lt;=K12,J12,K12))^2)/Итог!$B$3^2</f>
        <v>234.9067455220314</v>
      </c>
    </row>
    <row r="52" spans="1:2" x14ac:dyDescent="0.3">
      <c r="A52" s="8">
        <v>439</v>
      </c>
      <c r="B52" s="19">
        <f>(16*(IF(J13&lt;=K13,J13,K13))^2)/Итог!$B$3^2</f>
        <v>230.01426732542149</v>
      </c>
    </row>
    <row r="53" spans="1:2" x14ac:dyDescent="0.3">
      <c r="A53" s="8">
        <v>394</v>
      </c>
      <c r="B53" s="19">
        <f>(16*(IF(J14&lt;=K14,J14,K14))^2)/Итог!$B$3^2</f>
        <v>60.270679229131574</v>
      </c>
    </row>
    <row r="54" spans="1:2" x14ac:dyDescent="0.3">
      <c r="A54" s="8">
        <v>576</v>
      </c>
      <c r="B54" s="19">
        <f>(16*(IF(J15&lt;=K15,J15,K15))^2)/Итог!$B$3^2</f>
        <v>94.459938062442532</v>
      </c>
    </row>
    <row r="55" spans="1:2" x14ac:dyDescent="0.3">
      <c r="A55" s="8">
        <v>309</v>
      </c>
      <c r="B55" s="19">
        <f>(16*(IF(J16&lt;=K16,J16,K16))^2)/Итог!$B$3^2</f>
        <v>123.59703764195265</v>
      </c>
    </row>
    <row r="56" spans="1:2" x14ac:dyDescent="0.3">
      <c r="A56" s="8">
        <v>6543</v>
      </c>
      <c r="B56" s="19">
        <f>(16*(IF(J17&lt;=K17,J17,K17))^2)/Итог!$B$3^2</f>
        <v>87.739807327370457</v>
      </c>
    </row>
    <row r="57" spans="1:2" x14ac:dyDescent="0.3">
      <c r="A57" s="8">
        <v>3987</v>
      </c>
      <c r="B57" s="19">
        <f>(16*(IF(J18&lt;=K18,J18,K18))^2)/Итог!$B$3^2</f>
        <v>103.92614340364585</v>
      </c>
    </row>
    <row r="58" spans="1:2" x14ac:dyDescent="0.3">
      <c r="A58" s="8">
        <v>8543</v>
      </c>
      <c r="B58" s="19">
        <f>(16*(IF(J19&lt;=K19,J19,K19))^2)/Итог!$B$3^2</f>
        <v>105.59456714469577</v>
      </c>
    </row>
    <row r="59" spans="1:2" x14ac:dyDescent="0.3">
      <c r="A59" s="8">
        <v>2212</v>
      </c>
      <c r="B59" s="19">
        <f>(16*(IF(J20&lt;=K20,J20,K20))^2)/Итог!$B$3^2</f>
        <v>98.12903752242822</v>
      </c>
    </row>
    <row r="60" spans="1:2" x14ac:dyDescent="0.3">
      <c r="A60" s="8">
        <v>9121</v>
      </c>
      <c r="B60" s="19">
        <f>(16*(IF(J21&lt;=K21,J21,K21))^2)/Итог!$B$3^2</f>
        <v>101.82669837867776</v>
      </c>
    </row>
    <row r="61" spans="1:2" x14ac:dyDescent="0.3">
      <c r="A61" s="8">
        <v>3786</v>
      </c>
      <c r="B61" s="19">
        <f>(16*(IF(J22&lt;=K22,J22,K22))^2)/Итог!$B$3^2</f>
        <v>121.43278424944543</v>
      </c>
    </row>
    <row r="62" spans="1:2" x14ac:dyDescent="0.3">
      <c r="A62" s="8">
        <v>46</v>
      </c>
      <c r="B62" s="19">
        <f>(16*(IF(J23&lt;=K23,J23,K23))^2)/Итог!$B$3^2</f>
        <v>101.4394853002341</v>
      </c>
    </row>
    <row r="63" spans="1:2" x14ac:dyDescent="0.3">
      <c r="A63" s="8">
        <v>80</v>
      </c>
      <c r="B63" s="19">
        <f>(16*(IF(J24&lt;=K24,J24,K24))^2)/Итог!$B$3^2</f>
        <v>125.43889629609943</v>
      </c>
    </row>
    <row r="64" spans="1:2" x14ac:dyDescent="0.3">
      <c r="A64" s="8">
        <v>82</v>
      </c>
      <c r="B64" s="19">
        <f>(16*(IF(J25&lt;=K25,J25,K25))^2)/Итог!$B$3^2</f>
        <v>114.04365332544369</v>
      </c>
    </row>
    <row r="65" spans="1:2" x14ac:dyDescent="0.3">
      <c r="A65" s="8">
        <v>88</v>
      </c>
      <c r="B65" s="19">
        <f>(16*(IF(J26&lt;=K26,J26,K26))^2)/Итог!$B$3^2</f>
        <v>115.72105691537409</v>
      </c>
    </row>
    <row r="66" spans="1:2" x14ac:dyDescent="0.3">
      <c r="A66" s="8">
        <v>19</v>
      </c>
      <c r="B66" s="19">
        <f>(16*(IF(J27&lt;=K27,J27,K27))^2)/Итог!$B$3^2</f>
        <v>95.157357701610124</v>
      </c>
    </row>
    <row r="67" spans="1:2" x14ac:dyDescent="0.3">
      <c r="A67" s="8">
        <v>66</v>
      </c>
      <c r="B67" s="19">
        <f>(16*(IF(J28&lt;=K28,J28,K28))^2)/Итог!$B$3^2</f>
        <v>118.80983107250341</v>
      </c>
    </row>
    <row r="68" spans="1:2" x14ac:dyDescent="0.3">
      <c r="A68" s="8">
        <v>72</v>
      </c>
      <c r="B68" s="19">
        <f>(16*(IF(J29&lt;=K29,J29,K29))^2)/Итог!$B$3^2</f>
        <v>127.78434791077302</v>
      </c>
    </row>
    <row r="69" spans="1:2" x14ac:dyDescent="0.3">
      <c r="A69" s="8">
        <v>73</v>
      </c>
      <c r="B69" s="19">
        <f>(16*(IF(J30&lt;=K30,J30,K30))^2)/Итог!$B$3^2</f>
        <v>102.21786409982172</v>
      </c>
    </row>
    <row r="70" spans="1:2" x14ac:dyDescent="0.3">
      <c r="A70" s="8">
        <v>1989</v>
      </c>
      <c r="B70" s="19">
        <f>(16*(IF(J31&lt;=K31,J31,K31))^2)/Итог!$B$3^2</f>
        <v>95.544450504529877</v>
      </c>
    </row>
    <row r="71" spans="1:2" x14ac:dyDescent="0.3">
      <c r="A71" s="8">
        <v>26</v>
      </c>
      <c r="B71" s="19">
        <f>(16*(IF(J32&lt;=K32,J32,K32))^2)/Итог!$B$3^2</f>
        <v>107.04719767380406</v>
      </c>
    </row>
    <row r="72" spans="1:2" x14ac:dyDescent="0.3">
      <c r="A72" s="8">
        <v>69</v>
      </c>
      <c r="B72" s="19">
        <f>(16*(IF(J33&lt;=K33,J33,K33))^2)/Итог!$B$3^2</f>
        <v>67.570442901098858</v>
      </c>
    </row>
    <row r="73" spans="1:2" x14ac:dyDescent="0.3">
      <c r="A73" s="8">
        <v>1</v>
      </c>
      <c r="B73" s="19">
        <f>(16*(IF(J34&lt;=K34,J34,K34))^2)/Итог!$B$3^2</f>
        <v>51.783448500555423</v>
      </c>
    </row>
    <row r="74" spans="1:2" x14ac:dyDescent="0.3">
      <c r="A74" s="9">
        <v>2</v>
      </c>
      <c r="B74" s="21">
        <f>(16*(IF(J35&lt;=K35,J35,K35))^2)/Итог!$B$3^2</f>
        <v>43.820331789134769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Все результаты</vt:lpstr>
      <vt:lpstr>Итог</vt:lpstr>
      <vt:lpstr>Положительные исходы</vt:lpstr>
      <vt:lpstr>Отрицательные исходы</vt:lpstr>
      <vt:lpstr>Нейтральные исходы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Вадим Макоев</cp:lastModifiedBy>
  <dcterms:created xsi:type="dcterms:W3CDTF">2025-10-21T23:17:25Z</dcterms:created>
  <dcterms:modified xsi:type="dcterms:W3CDTF">2026-05-12T22:21:08Z</dcterms:modified>
</cp:coreProperties>
</file>